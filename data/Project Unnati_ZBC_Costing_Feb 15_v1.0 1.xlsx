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ttps://protivitimf-my.sharepoint.com/personal/amritpal_raheja_protivitiglobal_in/Documents/Desktop/"/>
    </mc:Choice>
  </mc:AlternateContent>
  <xr:revisionPtr revIDLastSave="0" documentId="8_{17C4744B-D38A-4FCB-8082-9ACB95EB363C}" xr6:coauthVersionLast="47" xr6:coauthVersionMax="47" xr10:uidLastSave="{00000000-0000-0000-0000-000000000000}"/>
  <bookViews>
    <workbookView xWindow="-93" yWindow="-93" windowWidth="19386" windowHeight="12266" tabRatio="832" xr2:uid="{00000000-000D-0000-FFFF-FFFF00000000}"/>
  </bookViews>
  <sheets>
    <sheet name="ZBC-Main Page" sheetId="17" r:id="rId1"/>
    <sheet name="Input_Data" sheetId="11" r:id="rId2"/>
    <sheet name="Guidelines" sheetId="20" r:id="rId3"/>
    <sheet name="Master Sheet" sheetId="12" r:id="rId4"/>
    <sheet name="ZBC-Calculations" sheetId="16" r:id="rId5"/>
    <sheet name="Search Index" sheetId="18" r:id="rId6"/>
    <sheet name="Distance Matrix" sheetId="21" r:id="rId7"/>
    <sheet name="Vehicle types" sheetId="22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4" i="12" l="1"/>
  <c r="C44" i="11" l="1"/>
  <c r="J44" i="11" s="1"/>
  <c r="G44" i="11" l="1"/>
  <c r="D44" i="11"/>
  <c r="H44" i="11"/>
  <c r="I44" i="11"/>
  <c r="J197" i="12" s="1"/>
  <c r="E44" i="11"/>
  <c r="F197" i="12" s="1"/>
  <c r="F44" i="11"/>
  <c r="K197" i="12"/>
  <c r="L175" i="12"/>
  <c r="K175" i="12"/>
  <c r="L159" i="12"/>
  <c r="J155" i="12"/>
  <c r="I175" i="12"/>
  <c r="H175" i="12"/>
  <c r="G175" i="12"/>
  <c r="F175" i="12"/>
  <c r="E175" i="12"/>
  <c r="D175" i="12"/>
  <c r="C51" i="16"/>
  <c r="C46" i="16"/>
  <c r="C200" i="12"/>
  <c r="K200" i="12" s="1"/>
  <c r="C196" i="12"/>
  <c r="E196" i="12" s="1"/>
  <c r="C195" i="12"/>
  <c r="L195" i="12" s="1"/>
  <c r="C194" i="12"/>
  <c r="E194" i="12" s="1"/>
  <c r="C193" i="12"/>
  <c r="I193" i="12" s="1"/>
  <c r="C192" i="12"/>
  <c r="H192" i="12" s="1"/>
  <c r="C191" i="12"/>
  <c r="K191" i="12" s="1"/>
  <c r="L191" i="12"/>
  <c r="C189" i="12"/>
  <c r="K189" i="12" s="1"/>
  <c r="C188" i="12"/>
  <c r="L188" i="12" s="1"/>
  <c r="C186" i="12"/>
  <c r="J186" i="12" s="1"/>
  <c r="C168" i="12"/>
  <c r="K168" i="12" s="1"/>
  <c r="C167" i="12"/>
  <c r="E167" i="12" s="1"/>
  <c r="C133" i="12"/>
  <c r="E133" i="12" s="1"/>
  <c r="C132" i="12"/>
  <c r="F132" i="12" s="1"/>
  <c r="C42" i="12"/>
  <c r="C41" i="12"/>
  <c r="C40" i="12"/>
  <c r="C35" i="12"/>
  <c r="C33" i="12"/>
  <c r="C31" i="12"/>
  <c r="C29" i="12"/>
  <c r="C27" i="12"/>
  <c r="C10" i="12"/>
  <c r="L187" i="12"/>
  <c r="K187" i="12"/>
  <c r="K190" i="12" s="1"/>
  <c r="L176" i="12"/>
  <c r="K176" i="12"/>
  <c r="L174" i="12"/>
  <c r="K174" i="12"/>
  <c r="L165" i="12"/>
  <c r="K165" i="12"/>
  <c r="L164" i="12"/>
  <c r="K164" i="12"/>
  <c r="L162" i="12"/>
  <c r="K162" i="12"/>
  <c r="L161" i="12"/>
  <c r="K161" i="12"/>
  <c r="K159" i="12"/>
  <c r="L158" i="12"/>
  <c r="K158" i="12"/>
  <c r="L157" i="12"/>
  <c r="K157" i="12"/>
  <c r="L155" i="12"/>
  <c r="K155" i="12"/>
  <c r="L154" i="12"/>
  <c r="K154" i="12"/>
  <c r="L153" i="12"/>
  <c r="K153" i="12"/>
  <c r="L151" i="12"/>
  <c r="K151" i="12"/>
  <c r="L150" i="12"/>
  <c r="K150" i="12"/>
  <c r="L149" i="12"/>
  <c r="K149" i="12"/>
  <c r="L147" i="12"/>
  <c r="K147" i="12"/>
  <c r="L146" i="12"/>
  <c r="K146" i="12"/>
  <c r="L145" i="12"/>
  <c r="K145" i="12"/>
  <c r="L135" i="12"/>
  <c r="K135" i="12"/>
  <c r="L134" i="12"/>
  <c r="K134" i="12"/>
  <c r="L131" i="12"/>
  <c r="K131" i="12"/>
  <c r="L125" i="12"/>
  <c r="K125" i="12"/>
  <c r="L124" i="12"/>
  <c r="K124" i="12"/>
  <c r="L123" i="12"/>
  <c r="K123" i="12"/>
  <c r="L17" i="12"/>
  <c r="K17" i="12"/>
  <c r="L16" i="12"/>
  <c r="K16" i="12"/>
  <c r="L8" i="12"/>
  <c r="K8" i="12"/>
  <c r="L7" i="12"/>
  <c r="K7" i="12"/>
  <c r="L6" i="12"/>
  <c r="K6" i="12"/>
  <c r="L33" i="16"/>
  <c r="K33" i="16"/>
  <c r="L10" i="16"/>
  <c r="K10" i="16"/>
  <c r="D68" i="18"/>
  <c r="D67" i="18"/>
  <c r="D66" i="18"/>
  <c r="D65" i="18"/>
  <c r="D64" i="18"/>
  <c r="D63" i="18"/>
  <c r="D62" i="18"/>
  <c r="D61" i="18"/>
  <c r="D60" i="18"/>
  <c r="D59" i="18"/>
  <c r="D58" i="18"/>
  <c r="D57" i="18"/>
  <c r="D56" i="18"/>
  <c r="D55" i="18"/>
  <c r="K192" i="12"/>
  <c r="H197" i="12"/>
  <c r="G197" i="12"/>
  <c r="D197" i="12"/>
  <c r="D54" i="18"/>
  <c r="D53" i="18"/>
  <c r="D52" i="18"/>
  <c r="D51" i="18"/>
  <c r="D50" i="18"/>
  <c r="D49" i="18"/>
  <c r="D48" i="18"/>
  <c r="D47" i="18"/>
  <c r="D46" i="18"/>
  <c r="D45" i="18"/>
  <c r="D44" i="18"/>
  <c r="D43" i="18"/>
  <c r="D42" i="18"/>
  <c r="D41" i="18"/>
  <c r="D40" i="18"/>
  <c r="D39" i="18"/>
  <c r="D38" i="18"/>
  <c r="D37" i="18"/>
  <c r="D36" i="18"/>
  <c r="D35" i="18"/>
  <c r="D34" i="18"/>
  <c r="D33" i="18"/>
  <c r="D32" i="18"/>
  <c r="D31" i="18"/>
  <c r="D30" i="18"/>
  <c r="D29" i="18"/>
  <c r="D28" i="18"/>
  <c r="D27" i="18"/>
  <c r="D26" i="18"/>
  <c r="D25" i="18"/>
  <c r="D24" i="18"/>
  <c r="D23" i="18"/>
  <c r="D22" i="18"/>
  <c r="D21" i="18"/>
  <c r="D20" i="18"/>
  <c r="D19" i="18"/>
  <c r="D18" i="18"/>
  <c r="D17" i="18"/>
  <c r="D16" i="18"/>
  <c r="D15" i="18"/>
  <c r="D14" i="18"/>
  <c r="D13" i="18"/>
  <c r="D12" i="18"/>
  <c r="D11" i="18"/>
  <c r="D10" i="18"/>
  <c r="D9" i="18"/>
  <c r="D8" i="18"/>
  <c r="D7" i="18"/>
  <c r="D6" i="18"/>
  <c r="I159" i="12"/>
  <c r="I155" i="12"/>
  <c r="I151" i="12"/>
  <c r="I147" i="12"/>
  <c r="G7" i="12"/>
  <c r="D187" i="12"/>
  <c r="J187" i="12"/>
  <c r="I187" i="12"/>
  <c r="H187" i="12"/>
  <c r="G187" i="12"/>
  <c r="F187" i="12"/>
  <c r="E187" i="12"/>
  <c r="I200" i="12"/>
  <c r="H200" i="12"/>
  <c r="E195" i="12"/>
  <c r="I195" i="12"/>
  <c r="F194" i="12"/>
  <c r="G193" i="12"/>
  <c r="F193" i="12"/>
  <c r="J191" i="12"/>
  <c r="I191" i="12"/>
  <c r="H191" i="12"/>
  <c r="F191" i="12"/>
  <c r="E191" i="12"/>
  <c r="D191" i="12"/>
  <c r="J135" i="12"/>
  <c r="I135" i="12"/>
  <c r="H135" i="12"/>
  <c r="G135" i="12"/>
  <c r="F135" i="12"/>
  <c r="E135" i="12"/>
  <c r="J134" i="12"/>
  <c r="I134" i="12"/>
  <c r="H134" i="12"/>
  <c r="G134" i="12"/>
  <c r="F134" i="12"/>
  <c r="E134" i="12"/>
  <c r="J131" i="12"/>
  <c r="I131" i="12"/>
  <c r="H131" i="12"/>
  <c r="G131" i="12"/>
  <c r="F131" i="12"/>
  <c r="E131" i="12"/>
  <c r="D135" i="12"/>
  <c r="D134" i="12"/>
  <c r="D131" i="12"/>
  <c r="J125" i="12"/>
  <c r="I125" i="12"/>
  <c r="H125" i="12"/>
  <c r="G125" i="12"/>
  <c r="F125" i="12"/>
  <c r="E125" i="12"/>
  <c r="J124" i="12"/>
  <c r="I124" i="12"/>
  <c r="H124" i="12"/>
  <c r="G124" i="12"/>
  <c r="F124" i="12"/>
  <c r="E124" i="12"/>
  <c r="D125" i="12"/>
  <c r="D124" i="12"/>
  <c r="J123" i="12"/>
  <c r="I123" i="12"/>
  <c r="H123" i="12"/>
  <c r="G123" i="12"/>
  <c r="F123" i="12"/>
  <c r="E123" i="12"/>
  <c r="D123" i="12"/>
  <c r="J176" i="12"/>
  <c r="I176" i="12"/>
  <c r="H176" i="12"/>
  <c r="G176" i="12"/>
  <c r="F176" i="12"/>
  <c r="E176" i="12"/>
  <c r="D176" i="12"/>
  <c r="J175" i="12"/>
  <c r="I174" i="12"/>
  <c r="H174" i="12"/>
  <c r="G174" i="12"/>
  <c r="F174" i="12"/>
  <c r="D174" i="12"/>
  <c r="E174" i="12"/>
  <c r="J41" i="16"/>
  <c r="I41" i="16"/>
  <c r="H41" i="16"/>
  <c r="G41" i="16"/>
  <c r="F41" i="16"/>
  <c r="E41" i="16"/>
  <c r="D41" i="16"/>
  <c r="B36" i="16"/>
  <c r="B35" i="16"/>
  <c r="B34" i="16"/>
  <c r="B39" i="16"/>
  <c r="B38" i="16"/>
  <c r="B37" i="16"/>
  <c r="J165" i="12"/>
  <c r="I165" i="12"/>
  <c r="H165" i="12"/>
  <c r="G165" i="12"/>
  <c r="F165" i="12"/>
  <c r="E165" i="12"/>
  <c r="J164" i="12"/>
  <c r="I164" i="12"/>
  <c r="H164" i="12"/>
  <c r="H163" i="12" s="1"/>
  <c r="H39" i="16" s="1"/>
  <c r="G164" i="12"/>
  <c r="F164" i="12"/>
  <c r="E164" i="12"/>
  <c r="J162" i="12"/>
  <c r="I162" i="12"/>
  <c r="H162" i="12"/>
  <c r="G162" i="12"/>
  <c r="F162" i="12"/>
  <c r="E162" i="12"/>
  <c r="J161" i="12"/>
  <c r="I161" i="12"/>
  <c r="H161" i="12"/>
  <c r="H160" i="12" s="1"/>
  <c r="H38" i="16" s="1"/>
  <c r="G161" i="12"/>
  <c r="F161" i="12"/>
  <c r="E161" i="12"/>
  <c r="D165" i="12"/>
  <c r="D164" i="12"/>
  <c r="D162" i="12"/>
  <c r="D161" i="12"/>
  <c r="H159" i="12"/>
  <c r="G159" i="12"/>
  <c r="F159" i="12"/>
  <c r="E159" i="12"/>
  <c r="J158" i="12"/>
  <c r="I158" i="12"/>
  <c r="H158" i="12"/>
  <c r="G158" i="12"/>
  <c r="F158" i="12"/>
  <c r="E158" i="12"/>
  <c r="J157" i="12"/>
  <c r="I157" i="12"/>
  <c r="H157" i="12"/>
  <c r="G157" i="12"/>
  <c r="F157" i="12"/>
  <c r="E157" i="12"/>
  <c r="H155" i="12"/>
  <c r="G155" i="12"/>
  <c r="F155" i="12"/>
  <c r="E155" i="12"/>
  <c r="J154" i="12"/>
  <c r="I154" i="12"/>
  <c r="H154" i="12"/>
  <c r="G154" i="12"/>
  <c r="F154" i="12"/>
  <c r="E154" i="12"/>
  <c r="J153" i="12"/>
  <c r="I153" i="12"/>
  <c r="H153" i="12"/>
  <c r="G153" i="12"/>
  <c r="F153" i="12"/>
  <c r="E153" i="12"/>
  <c r="H151" i="12"/>
  <c r="G151" i="12"/>
  <c r="F151" i="12"/>
  <c r="E151" i="12"/>
  <c r="J150" i="12"/>
  <c r="I150" i="12"/>
  <c r="H150" i="12"/>
  <c r="G150" i="12"/>
  <c r="F150" i="12"/>
  <c r="E150" i="12"/>
  <c r="J149" i="12"/>
  <c r="I149" i="12"/>
  <c r="H149" i="12"/>
  <c r="G149" i="12"/>
  <c r="F149" i="12"/>
  <c r="E149" i="12"/>
  <c r="H147" i="12"/>
  <c r="G147" i="12"/>
  <c r="F147" i="12"/>
  <c r="E147" i="12"/>
  <c r="J146" i="12"/>
  <c r="I146" i="12"/>
  <c r="H146" i="12"/>
  <c r="G146" i="12"/>
  <c r="F146" i="12"/>
  <c r="E146" i="12"/>
  <c r="J145" i="12"/>
  <c r="I145" i="12"/>
  <c r="H145" i="12"/>
  <c r="G145" i="12"/>
  <c r="F145" i="12"/>
  <c r="E145" i="12"/>
  <c r="D159" i="12"/>
  <c r="D158" i="12"/>
  <c r="D157" i="12"/>
  <c r="D155" i="12"/>
  <c r="D154" i="12"/>
  <c r="D153" i="12"/>
  <c r="D151" i="12"/>
  <c r="D150" i="12"/>
  <c r="D149" i="12"/>
  <c r="D147" i="12"/>
  <c r="D146" i="12"/>
  <c r="D145" i="12"/>
  <c r="J10" i="16"/>
  <c r="I10" i="16"/>
  <c r="H10" i="16"/>
  <c r="G10" i="16"/>
  <c r="F10" i="16"/>
  <c r="E10" i="16"/>
  <c r="D10" i="16"/>
  <c r="J17" i="12"/>
  <c r="I17" i="12"/>
  <c r="H17" i="12"/>
  <c r="G17" i="12"/>
  <c r="F17" i="12"/>
  <c r="E17" i="12"/>
  <c r="J16" i="12"/>
  <c r="I16" i="12"/>
  <c r="H16" i="12"/>
  <c r="G16" i="12"/>
  <c r="G18" i="12" s="1"/>
  <c r="G19" i="12" s="1"/>
  <c r="G8" i="16" s="1"/>
  <c r="F16" i="12"/>
  <c r="E16" i="12"/>
  <c r="D17" i="12"/>
  <c r="D16" i="12"/>
  <c r="J8" i="12"/>
  <c r="I8" i="12"/>
  <c r="H8" i="12"/>
  <c r="G8" i="12"/>
  <c r="F8" i="12"/>
  <c r="E8" i="12"/>
  <c r="D8" i="12"/>
  <c r="J7" i="12"/>
  <c r="I7" i="12"/>
  <c r="H7" i="12"/>
  <c r="F7" i="12"/>
  <c r="E7" i="12"/>
  <c r="D7" i="12"/>
  <c r="J6" i="12"/>
  <c r="I6" i="12"/>
  <c r="H6" i="12"/>
  <c r="G6" i="12"/>
  <c r="F6" i="12"/>
  <c r="E6" i="12"/>
  <c r="D6" i="12"/>
  <c r="D132" i="12"/>
  <c r="J151" i="12"/>
  <c r="J159" i="12"/>
  <c r="J147" i="12"/>
  <c r="G122" i="12" l="1"/>
  <c r="G120" i="12"/>
  <c r="G116" i="12"/>
  <c r="G121" i="12"/>
  <c r="G118" i="12"/>
  <c r="G119" i="12"/>
  <c r="G117" i="12"/>
  <c r="G18" i="16" s="1"/>
  <c r="J122" i="12"/>
  <c r="J23" i="16" s="1"/>
  <c r="J117" i="12"/>
  <c r="J118" i="12"/>
  <c r="J19" i="16" s="1"/>
  <c r="J116" i="12"/>
  <c r="J17" i="16" s="1"/>
  <c r="J121" i="12"/>
  <c r="J22" i="16" s="1"/>
  <c r="J119" i="12"/>
  <c r="J120" i="12"/>
  <c r="L121" i="12"/>
  <c r="L117" i="12"/>
  <c r="L18" i="16" s="1"/>
  <c r="L118" i="12"/>
  <c r="L19" i="16" s="1"/>
  <c r="L119" i="12"/>
  <c r="L120" i="12"/>
  <c r="L21" i="16" s="1"/>
  <c r="L122" i="12"/>
  <c r="L23" i="16" s="1"/>
  <c r="L116" i="12"/>
  <c r="L17" i="16" s="1"/>
  <c r="J168" i="12"/>
  <c r="J166" i="12" s="1"/>
  <c r="J40" i="16" s="1"/>
  <c r="J167" i="12"/>
  <c r="D122" i="12"/>
  <c r="D119" i="12"/>
  <c r="D116" i="12"/>
  <c r="D121" i="12"/>
  <c r="D120" i="12"/>
  <c r="D117" i="12"/>
  <c r="D118" i="12"/>
  <c r="F136" i="12"/>
  <c r="E200" i="12"/>
  <c r="F200" i="12"/>
  <c r="H122" i="12"/>
  <c r="H23" i="16" s="1"/>
  <c r="H120" i="12"/>
  <c r="H116" i="12"/>
  <c r="H117" i="12"/>
  <c r="H118" i="12"/>
  <c r="H121" i="12"/>
  <c r="H119" i="12"/>
  <c r="H156" i="12"/>
  <c r="H37" i="16" s="1"/>
  <c r="E122" i="12"/>
  <c r="E119" i="12"/>
  <c r="E120" i="12"/>
  <c r="E121" i="12"/>
  <c r="E22" i="16" s="1"/>
  <c r="E116" i="12"/>
  <c r="E117" i="12"/>
  <c r="E118" i="12"/>
  <c r="G200" i="12"/>
  <c r="K122" i="12"/>
  <c r="K121" i="12"/>
  <c r="K117" i="12"/>
  <c r="K120" i="12"/>
  <c r="K116" i="12"/>
  <c r="K17" i="16" s="1"/>
  <c r="K118" i="12"/>
  <c r="K119" i="12"/>
  <c r="K20" i="16" s="1"/>
  <c r="F122" i="12"/>
  <c r="F23" i="16" s="1"/>
  <c r="F119" i="12"/>
  <c r="F20" i="16" s="1"/>
  <c r="F120" i="12"/>
  <c r="F116" i="12"/>
  <c r="F117" i="12"/>
  <c r="F118" i="12"/>
  <c r="F121" i="12"/>
  <c r="F22" i="16" s="1"/>
  <c r="J200" i="12"/>
  <c r="I122" i="12"/>
  <c r="I120" i="12"/>
  <c r="I21" i="16" s="1"/>
  <c r="I116" i="12"/>
  <c r="I121" i="12"/>
  <c r="I117" i="12"/>
  <c r="I18" i="16" s="1"/>
  <c r="I118" i="12"/>
  <c r="I119" i="12"/>
  <c r="F160" i="12"/>
  <c r="F38" i="16" s="1"/>
  <c r="D168" i="12"/>
  <c r="E188" i="12"/>
  <c r="D200" i="12"/>
  <c r="K144" i="12"/>
  <c r="H9" i="12"/>
  <c r="H40" i="12" s="1"/>
  <c r="H45" i="12" s="1"/>
  <c r="J177" i="12"/>
  <c r="H136" i="12"/>
  <c r="H138" i="12" s="1"/>
  <c r="D148" i="12"/>
  <c r="D35" i="16" s="1"/>
  <c r="G152" i="12"/>
  <c r="G36" i="16" s="1"/>
  <c r="E156" i="12"/>
  <c r="E37" i="16" s="1"/>
  <c r="I156" i="12"/>
  <c r="I37" i="16" s="1"/>
  <c r="I163" i="12"/>
  <c r="I39" i="16" s="1"/>
  <c r="D18" i="16"/>
  <c r="E18" i="12"/>
  <c r="E19" i="12" s="1"/>
  <c r="E8" i="16" s="1"/>
  <c r="F152" i="12"/>
  <c r="F36" i="16" s="1"/>
  <c r="J160" i="12"/>
  <c r="J38" i="16" s="1"/>
  <c r="F163" i="12"/>
  <c r="F39" i="16" s="1"/>
  <c r="J163" i="12"/>
  <c r="J39" i="16" s="1"/>
  <c r="G136" i="12"/>
  <c r="G138" i="12" s="1"/>
  <c r="E136" i="12"/>
  <c r="E138" i="12" s="1"/>
  <c r="K18" i="12"/>
  <c r="K19" i="12" s="1"/>
  <c r="K8" i="16" s="1"/>
  <c r="K152" i="12"/>
  <c r="L160" i="12"/>
  <c r="L163" i="12"/>
  <c r="J144" i="12"/>
  <c r="J34" i="16" s="1"/>
  <c r="I18" i="12"/>
  <c r="I19" i="12" s="1"/>
  <c r="I8" i="16" s="1"/>
  <c r="G148" i="12"/>
  <c r="G35" i="16" s="1"/>
  <c r="D163" i="12"/>
  <c r="D39" i="16" s="1"/>
  <c r="G160" i="12"/>
  <c r="G38" i="16" s="1"/>
  <c r="G163" i="12"/>
  <c r="G39" i="16" s="1"/>
  <c r="I188" i="12"/>
  <c r="L200" i="12"/>
  <c r="D133" i="12"/>
  <c r="F188" i="12"/>
  <c r="J188" i="12"/>
  <c r="H22" i="16"/>
  <c r="I133" i="12"/>
  <c r="D192" i="12"/>
  <c r="F133" i="12"/>
  <c r="H19" i="16"/>
  <c r="F9" i="12"/>
  <c r="J9" i="12"/>
  <c r="J10" i="12" s="1"/>
  <c r="J11" i="12" s="1"/>
  <c r="J7" i="16" s="1"/>
  <c r="F144" i="12"/>
  <c r="F34" i="16" s="1"/>
  <c r="F156" i="12"/>
  <c r="F37" i="16" s="1"/>
  <c r="D136" i="12"/>
  <c r="D138" i="12" s="1"/>
  <c r="G188" i="12"/>
  <c r="E189" i="12"/>
  <c r="G192" i="12"/>
  <c r="J193" i="12"/>
  <c r="D196" i="12"/>
  <c r="L193" i="12"/>
  <c r="L22" i="16"/>
  <c r="L136" i="12"/>
  <c r="L138" i="12" s="1"/>
  <c r="L144" i="12"/>
  <c r="L148" i="12"/>
  <c r="L152" i="12"/>
  <c r="L156" i="12"/>
  <c r="K160" i="12"/>
  <c r="K163" i="12"/>
  <c r="H133" i="12"/>
  <c r="J133" i="12"/>
  <c r="G144" i="12"/>
  <c r="G34" i="16" s="1"/>
  <c r="F148" i="12"/>
  <c r="F35" i="16" s="1"/>
  <c r="I152" i="12"/>
  <c r="I36" i="16" s="1"/>
  <c r="G156" i="12"/>
  <c r="G37" i="16" s="1"/>
  <c r="I136" i="12"/>
  <c r="I138" i="12" s="1"/>
  <c r="D188" i="12"/>
  <c r="H188" i="12"/>
  <c r="K188" i="12"/>
  <c r="J156" i="12"/>
  <c r="J37" i="16" s="1"/>
  <c r="K177" i="12"/>
  <c r="K173" i="12" s="1"/>
  <c r="K56" i="16" s="1"/>
  <c r="I23" i="16"/>
  <c r="G20" i="16"/>
  <c r="F138" i="12"/>
  <c r="G9" i="12"/>
  <c r="H144" i="12"/>
  <c r="H34" i="16" s="1"/>
  <c r="D156" i="12"/>
  <c r="D37" i="16" s="1"/>
  <c r="I148" i="12"/>
  <c r="I35" i="16" s="1"/>
  <c r="D22" i="16"/>
  <c r="I17" i="16"/>
  <c r="H152" i="12"/>
  <c r="H36" i="16" s="1"/>
  <c r="J20" i="16"/>
  <c r="F19" i="16"/>
  <c r="H21" i="16"/>
  <c r="E9" i="12"/>
  <c r="E10" i="12" s="1"/>
  <c r="E11" i="12" s="1"/>
  <c r="I9" i="12"/>
  <c r="F18" i="12"/>
  <c r="F19" i="12" s="1"/>
  <c r="F8" i="16" s="1"/>
  <c r="J18" i="12"/>
  <c r="J19" i="12" s="1"/>
  <c r="J8" i="16" s="1"/>
  <c r="D144" i="12"/>
  <c r="D34" i="16" s="1"/>
  <c r="D152" i="12"/>
  <c r="D36" i="16" s="1"/>
  <c r="E144" i="12"/>
  <c r="E34" i="16" s="1"/>
  <c r="H148" i="12"/>
  <c r="H35" i="16" s="1"/>
  <c r="E152" i="12"/>
  <c r="E36" i="16" s="1"/>
  <c r="E160" i="12"/>
  <c r="E38" i="16" s="1"/>
  <c r="I160" i="12"/>
  <c r="I38" i="16" s="1"/>
  <c r="E163" i="12"/>
  <c r="E39" i="16" s="1"/>
  <c r="K23" i="16"/>
  <c r="K136" i="12"/>
  <c r="K138" i="12" s="1"/>
  <c r="K148" i="12"/>
  <c r="K156" i="12"/>
  <c r="J136" i="12"/>
  <c r="J138" i="12" s="1"/>
  <c r="J148" i="12"/>
  <c r="J35" i="16" s="1"/>
  <c r="D17" i="16"/>
  <c r="G17" i="16"/>
  <c r="F18" i="16"/>
  <c r="E21" i="16"/>
  <c r="H20" i="16"/>
  <c r="H18" i="12"/>
  <c r="H19" i="12" s="1"/>
  <c r="H8" i="16" s="1"/>
  <c r="J152" i="12"/>
  <c r="J36" i="16" s="1"/>
  <c r="L9" i="12"/>
  <c r="L40" i="12" s="1"/>
  <c r="L20" i="16"/>
  <c r="D21" i="16"/>
  <c r="G21" i="16"/>
  <c r="G23" i="16"/>
  <c r="J18" i="16"/>
  <c r="F21" i="16"/>
  <c r="F17" i="16"/>
  <c r="I19" i="16"/>
  <c r="E19" i="16"/>
  <c r="H18" i="16"/>
  <c r="D18" i="12"/>
  <c r="D19" i="12" s="1"/>
  <c r="D8" i="16" s="1"/>
  <c r="I144" i="12"/>
  <c r="I34" i="16" s="1"/>
  <c r="E148" i="12"/>
  <c r="E35" i="16" s="1"/>
  <c r="L18" i="12"/>
  <c r="L19" i="12" s="1"/>
  <c r="L8" i="16" s="1"/>
  <c r="K22" i="16"/>
  <c r="G22" i="16"/>
  <c r="G19" i="16"/>
  <c r="I22" i="16"/>
  <c r="E17" i="16"/>
  <c r="E18" i="16"/>
  <c r="L177" i="12"/>
  <c r="L173" i="12" s="1"/>
  <c r="L56" i="16" s="1"/>
  <c r="K18" i="16"/>
  <c r="K19" i="16"/>
  <c r="K21" i="16"/>
  <c r="D19" i="16"/>
  <c r="J21" i="16"/>
  <c r="I20" i="16"/>
  <c r="E20" i="16"/>
  <c r="E23" i="16"/>
  <c r="H17" i="16"/>
  <c r="D9" i="12"/>
  <c r="D160" i="12"/>
  <c r="D38" i="16" s="1"/>
  <c r="K9" i="12"/>
  <c r="K40" i="12" s="1"/>
  <c r="D23" i="16"/>
  <c r="D20" i="16"/>
  <c r="F190" i="12"/>
  <c r="J173" i="12"/>
  <c r="J56" i="16" s="1"/>
  <c r="J190" i="12"/>
  <c r="D190" i="12"/>
  <c r="I177" i="12"/>
  <c r="I173" i="12" s="1"/>
  <c r="I56" i="16" s="1"/>
  <c r="G190" i="12"/>
  <c r="K193" i="12"/>
  <c r="F177" i="12"/>
  <c r="F173" i="12" s="1"/>
  <c r="F56" i="16" s="1"/>
  <c r="G177" i="12"/>
  <c r="G173" i="12" s="1"/>
  <c r="G56" i="16" s="1"/>
  <c r="D137" i="12"/>
  <c r="H190" i="12"/>
  <c r="D177" i="12"/>
  <c r="D173" i="12" s="1"/>
  <c r="D56" i="16" s="1"/>
  <c r="H177" i="12"/>
  <c r="H173" i="12" s="1"/>
  <c r="H56" i="16" s="1"/>
  <c r="E190" i="12"/>
  <c r="I190" i="12"/>
  <c r="E177" i="12"/>
  <c r="E173" i="12" s="1"/>
  <c r="E56" i="16" s="1"/>
  <c r="L190" i="12"/>
  <c r="E197" i="12"/>
  <c r="L197" i="12"/>
  <c r="I197" i="12"/>
  <c r="F137" i="12"/>
  <c r="F168" i="12"/>
  <c r="J132" i="12"/>
  <c r="J137" i="12" s="1"/>
  <c r="F189" i="12"/>
  <c r="H195" i="12"/>
  <c r="D195" i="12"/>
  <c r="L168" i="12"/>
  <c r="L133" i="12"/>
  <c r="G132" i="12"/>
  <c r="I189" i="12"/>
  <c r="D193" i="12"/>
  <c r="H193" i="12"/>
  <c r="G195" i="12"/>
  <c r="K195" i="12"/>
  <c r="G168" i="12"/>
  <c r="H168" i="12"/>
  <c r="K133" i="12"/>
  <c r="L132" i="12"/>
  <c r="G133" i="12"/>
  <c r="J189" i="12"/>
  <c r="G191" i="12"/>
  <c r="E193" i="12"/>
  <c r="J195" i="12"/>
  <c r="F195" i="12"/>
  <c r="I168" i="12"/>
  <c r="L186" i="12"/>
  <c r="K186" i="12"/>
  <c r="I186" i="12"/>
  <c r="E186" i="12"/>
  <c r="H186" i="12"/>
  <c r="D186" i="12"/>
  <c r="G186" i="12"/>
  <c r="F186" i="12"/>
  <c r="L196" i="12"/>
  <c r="F196" i="12"/>
  <c r="J196" i="12"/>
  <c r="K196" i="12"/>
  <c r="G196" i="12"/>
  <c r="H196" i="12"/>
  <c r="I196" i="12"/>
  <c r="D167" i="12"/>
  <c r="D166" i="12" s="1"/>
  <c r="D40" i="16" s="1"/>
  <c r="I167" i="12"/>
  <c r="K167" i="12"/>
  <c r="K166" i="12" s="1"/>
  <c r="L167" i="12"/>
  <c r="H167" i="12"/>
  <c r="G167" i="12"/>
  <c r="F167" i="12"/>
  <c r="L194" i="12"/>
  <c r="H194" i="12"/>
  <c r="D194" i="12"/>
  <c r="G194" i="12"/>
  <c r="K194" i="12"/>
  <c r="J194" i="12"/>
  <c r="I194" i="12"/>
  <c r="L192" i="12"/>
  <c r="J192" i="12"/>
  <c r="F192" i="12"/>
  <c r="I192" i="12"/>
  <c r="E192" i="12"/>
  <c r="H132" i="12"/>
  <c r="H137" i="12" s="1"/>
  <c r="E132" i="12"/>
  <c r="E137" i="12" s="1"/>
  <c r="I132" i="12"/>
  <c r="K132" i="12"/>
  <c r="L189" i="12"/>
  <c r="H189" i="12"/>
  <c r="D189" i="12"/>
  <c r="G189" i="12"/>
  <c r="E168" i="12"/>
  <c r="E166" i="12" s="1"/>
  <c r="E40" i="16" s="1"/>
  <c r="L10" i="12" l="1"/>
  <c r="L11" i="12" s="1"/>
  <c r="H24" i="12"/>
  <c r="H10" i="12"/>
  <c r="H11" i="12" s="1"/>
  <c r="H7" i="16" s="1"/>
  <c r="L24" i="12"/>
  <c r="H139" i="12"/>
  <c r="H130" i="12" s="1"/>
  <c r="H28" i="16" s="1"/>
  <c r="J139" i="12"/>
  <c r="J130" i="12" s="1"/>
  <c r="J28" i="16" s="1"/>
  <c r="D33" i="16"/>
  <c r="J24" i="12"/>
  <c r="J26" i="12" s="1"/>
  <c r="J27" i="12" s="1"/>
  <c r="J40" i="12"/>
  <c r="J43" i="12" s="1"/>
  <c r="F139" i="12"/>
  <c r="I24" i="12"/>
  <c r="I40" i="12"/>
  <c r="I43" i="12" s="1"/>
  <c r="F10" i="12"/>
  <c r="F11" i="12" s="1"/>
  <c r="F7" i="16" s="1"/>
  <c r="F40" i="12"/>
  <c r="D10" i="12"/>
  <c r="D11" i="12" s="1"/>
  <c r="D7" i="16" s="1"/>
  <c r="D40" i="12"/>
  <c r="D45" i="12" s="1"/>
  <c r="E24" i="12"/>
  <c r="E26" i="12" s="1"/>
  <c r="E40" i="12"/>
  <c r="E45" i="12" s="1"/>
  <c r="G24" i="12"/>
  <c r="G40" i="12"/>
  <c r="G45" i="12" s="1"/>
  <c r="J198" i="12"/>
  <c r="J201" i="12" s="1"/>
  <c r="J182" i="12" s="1"/>
  <c r="J184" i="12" s="1"/>
  <c r="J63" i="16" s="1"/>
  <c r="I137" i="12"/>
  <c r="I139" i="12" s="1"/>
  <c r="D139" i="12"/>
  <c r="D24" i="12"/>
  <c r="I166" i="12"/>
  <c r="I40" i="16" s="1"/>
  <c r="I33" i="16" s="1"/>
  <c r="F24" i="12"/>
  <c r="H26" i="12"/>
  <c r="H27" i="12" s="1"/>
  <c r="G10" i="12"/>
  <c r="G11" i="12" s="1"/>
  <c r="E139" i="12"/>
  <c r="D43" i="12"/>
  <c r="J199" i="12"/>
  <c r="J202" i="12" s="1"/>
  <c r="J183" i="12" s="1"/>
  <c r="J62" i="16" s="1"/>
  <c r="L166" i="12"/>
  <c r="I10" i="12"/>
  <c r="I11" i="12" s="1"/>
  <c r="I7" i="16" s="1"/>
  <c r="J33" i="16"/>
  <c r="E33" i="16"/>
  <c r="K45" i="12"/>
  <c r="K43" i="12"/>
  <c r="E7" i="16"/>
  <c r="F166" i="12"/>
  <c r="F40" i="16" s="1"/>
  <c r="F33" i="16" s="1"/>
  <c r="K10" i="12"/>
  <c r="K11" i="12" s="1"/>
  <c r="K7" i="16" s="1"/>
  <c r="H43" i="12"/>
  <c r="H46" i="12" s="1"/>
  <c r="K24" i="12"/>
  <c r="L26" i="12"/>
  <c r="L7" i="16"/>
  <c r="L45" i="12"/>
  <c r="L43" i="12"/>
  <c r="K137" i="12"/>
  <c r="K139" i="12" s="1"/>
  <c r="G166" i="12"/>
  <c r="G40" i="16" s="1"/>
  <c r="G33" i="16" s="1"/>
  <c r="H166" i="12"/>
  <c r="H40" i="16" s="1"/>
  <c r="H33" i="16" s="1"/>
  <c r="L137" i="12"/>
  <c r="L139" i="12" s="1"/>
  <c r="G137" i="12"/>
  <c r="G139" i="12" s="1"/>
  <c r="E199" i="12"/>
  <c r="E202" i="12" s="1"/>
  <c r="E183" i="12" s="1"/>
  <c r="E198" i="12"/>
  <c r="E201" i="12" s="1"/>
  <c r="E182" i="12" s="1"/>
  <c r="J28" i="12"/>
  <c r="F198" i="12"/>
  <c r="F201" i="12" s="1"/>
  <c r="F182" i="12" s="1"/>
  <c r="F199" i="12"/>
  <c r="F202" i="12" s="1"/>
  <c r="F183" i="12" s="1"/>
  <c r="D198" i="12"/>
  <c r="D201" i="12" s="1"/>
  <c r="D182" i="12" s="1"/>
  <c r="D199" i="12"/>
  <c r="D202" i="12" s="1"/>
  <c r="D183" i="12" s="1"/>
  <c r="K198" i="12"/>
  <c r="K201" i="12" s="1"/>
  <c r="K182" i="12" s="1"/>
  <c r="K199" i="12"/>
  <c r="K202" i="12" s="1"/>
  <c r="K183" i="12" s="1"/>
  <c r="G199" i="12"/>
  <c r="G202" i="12" s="1"/>
  <c r="G183" i="12" s="1"/>
  <c r="G198" i="12"/>
  <c r="G201" i="12" s="1"/>
  <c r="G182" i="12" s="1"/>
  <c r="I198" i="12"/>
  <c r="I201" i="12" s="1"/>
  <c r="I182" i="12" s="1"/>
  <c r="I199" i="12"/>
  <c r="I202" i="12" s="1"/>
  <c r="I183" i="12" s="1"/>
  <c r="H198" i="12"/>
  <c r="H201" i="12" s="1"/>
  <c r="H182" i="12" s="1"/>
  <c r="H199" i="12"/>
  <c r="H202" i="12" s="1"/>
  <c r="H183" i="12" s="1"/>
  <c r="L198" i="12"/>
  <c r="L201" i="12" s="1"/>
  <c r="L182" i="12" s="1"/>
  <c r="L199" i="12"/>
  <c r="L202" i="12" s="1"/>
  <c r="L183" i="12" s="1"/>
  <c r="H28" i="12"/>
  <c r="G43" i="12" l="1"/>
  <c r="I45" i="12"/>
  <c r="E43" i="12"/>
  <c r="E46" i="12" s="1"/>
  <c r="E47" i="12" s="1"/>
  <c r="K26" i="12"/>
  <c r="K28" i="12" s="1"/>
  <c r="J61" i="16"/>
  <c r="I46" i="12"/>
  <c r="I47" i="12" s="1"/>
  <c r="I48" i="12" s="1"/>
  <c r="F26" i="12"/>
  <c r="F28" i="12" s="1"/>
  <c r="F30" i="12" s="1"/>
  <c r="E130" i="12"/>
  <c r="E28" i="16" s="1"/>
  <c r="F130" i="12"/>
  <c r="F28" i="16" s="1"/>
  <c r="D130" i="12"/>
  <c r="D28" i="16" s="1"/>
  <c r="G130" i="12"/>
  <c r="G28" i="16" s="1"/>
  <c r="J45" i="12"/>
  <c r="J46" i="12" s="1"/>
  <c r="L130" i="12"/>
  <c r="L28" i="16" s="1"/>
  <c r="K130" i="12"/>
  <c r="K28" i="16" s="1"/>
  <c r="I130" i="12"/>
  <c r="I28" i="16" s="1"/>
  <c r="D26" i="12"/>
  <c r="D28" i="12" s="1"/>
  <c r="D30" i="12" s="1"/>
  <c r="F45" i="12"/>
  <c r="F43" i="12"/>
  <c r="G26" i="12"/>
  <c r="G7" i="16"/>
  <c r="K46" i="12"/>
  <c r="K47" i="12" s="1"/>
  <c r="K48" i="12" s="1"/>
  <c r="K27" i="12"/>
  <c r="J185" i="12"/>
  <c r="J64" i="16" s="1"/>
  <c r="I26" i="12"/>
  <c r="E28" i="12"/>
  <c r="E27" i="12"/>
  <c r="L46" i="12"/>
  <c r="L47" i="12" s="1"/>
  <c r="L27" i="12"/>
  <c r="L28" i="12"/>
  <c r="H184" i="12"/>
  <c r="H63" i="16" s="1"/>
  <c r="H61" i="16"/>
  <c r="I62" i="16"/>
  <c r="I185" i="12"/>
  <c r="I64" i="16" s="1"/>
  <c r="K62" i="16"/>
  <c r="K185" i="12"/>
  <c r="K64" i="16" s="1"/>
  <c r="H47" i="12"/>
  <c r="E61" i="16"/>
  <c r="E184" i="12"/>
  <c r="E63" i="16" s="1"/>
  <c r="I184" i="12"/>
  <c r="I63" i="16" s="1"/>
  <c r="I61" i="16"/>
  <c r="E48" i="12"/>
  <c r="K30" i="12"/>
  <c r="K29" i="12"/>
  <c r="F184" i="12"/>
  <c r="F63" i="16" s="1"/>
  <c r="F61" i="16"/>
  <c r="E185" i="12"/>
  <c r="E64" i="16" s="1"/>
  <c r="E62" i="16"/>
  <c r="H29" i="12"/>
  <c r="H30" i="12"/>
  <c r="L61" i="16"/>
  <c r="L184" i="12"/>
  <c r="L63" i="16" s="1"/>
  <c r="G46" i="12"/>
  <c r="D62" i="16"/>
  <c r="D185" i="12"/>
  <c r="D64" i="16" s="1"/>
  <c r="G185" i="12"/>
  <c r="G64" i="16" s="1"/>
  <c r="G62" i="16"/>
  <c r="F62" i="16"/>
  <c r="F185" i="12"/>
  <c r="F64" i="16" s="1"/>
  <c r="L62" i="16"/>
  <c r="L185" i="12"/>
  <c r="L64" i="16" s="1"/>
  <c r="K61" i="16"/>
  <c r="K184" i="12"/>
  <c r="K63" i="16" s="1"/>
  <c r="D46" i="12"/>
  <c r="H185" i="12"/>
  <c r="H64" i="16" s="1"/>
  <c r="H62" i="16"/>
  <c r="G61" i="16"/>
  <c r="G184" i="12"/>
  <c r="G63" i="16" s="1"/>
  <c r="D61" i="16"/>
  <c r="D184" i="12"/>
  <c r="D63" i="16" s="1"/>
  <c r="J30" i="12"/>
  <c r="J29" i="12"/>
  <c r="F29" i="12" l="1"/>
  <c r="F27" i="12"/>
  <c r="D27" i="12"/>
  <c r="F46" i="12"/>
  <c r="F47" i="12" s="1"/>
  <c r="F48" i="12" s="1"/>
  <c r="F49" i="12" s="1"/>
  <c r="D29" i="12"/>
  <c r="G27" i="12"/>
  <c r="G28" i="12"/>
  <c r="K49" i="12"/>
  <c r="K50" i="12" s="1"/>
  <c r="I27" i="12"/>
  <c r="I28" i="12"/>
  <c r="E30" i="12"/>
  <c r="E29" i="12"/>
  <c r="J47" i="12"/>
  <c r="L30" i="12"/>
  <c r="L29" i="12"/>
  <c r="L48" i="12"/>
  <c r="L49" i="12" s="1"/>
  <c r="L50" i="12" s="1"/>
  <c r="E49" i="12"/>
  <c r="E50" i="12" s="1"/>
  <c r="H32" i="12"/>
  <c r="H31" i="12"/>
  <c r="J31" i="12"/>
  <c r="J32" i="12"/>
  <c r="D31" i="12"/>
  <c r="D32" i="12"/>
  <c r="K31" i="12"/>
  <c r="K32" i="12"/>
  <c r="H48" i="12"/>
  <c r="F31" i="12"/>
  <c r="F32" i="12"/>
  <c r="I49" i="12"/>
  <c r="D47" i="12"/>
  <c r="G47" i="12"/>
  <c r="G48" i="12" s="1"/>
  <c r="K51" i="12" l="1"/>
  <c r="K52" i="12" s="1"/>
  <c r="G30" i="12"/>
  <c r="G29" i="12"/>
  <c r="I29" i="12"/>
  <c r="I30" i="12"/>
  <c r="E31" i="12"/>
  <c r="E32" i="12"/>
  <c r="J48" i="12"/>
  <c r="J49" i="12" s="1"/>
  <c r="L32" i="12"/>
  <c r="L31" i="12"/>
  <c r="F33" i="12"/>
  <c r="F34" i="12"/>
  <c r="F35" i="12" s="1"/>
  <c r="K33" i="12"/>
  <c r="K34" i="12"/>
  <c r="K35" i="12" s="1"/>
  <c r="J34" i="12"/>
  <c r="J35" i="12" s="1"/>
  <c r="J33" i="12"/>
  <c r="K53" i="12"/>
  <c r="K54" i="12" s="1"/>
  <c r="E51" i="12"/>
  <c r="G49" i="12"/>
  <c r="G50" i="12" s="1"/>
  <c r="D34" i="12"/>
  <c r="D35" i="12" s="1"/>
  <c r="D33" i="12"/>
  <c r="H33" i="12"/>
  <c r="H34" i="12"/>
  <c r="H35" i="12" s="1"/>
  <c r="F50" i="12"/>
  <c r="F51" i="12" s="1"/>
  <c r="I50" i="12"/>
  <c r="D48" i="12"/>
  <c r="H49" i="12"/>
  <c r="H50" i="12" s="1"/>
  <c r="H51" i="12" s="1"/>
  <c r="L51" i="12"/>
  <c r="J25" i="12" l="1"/>
  <c r="J9" i="16" s="1"/>
  <c r="G31" i="12"/>
  <c r="G32" i="12"/>
  <c r="I31" i="12"/>
  <c r="I32" i="12"/>
  <c r="E33" i="12"/>
  <c r="E34" i="12"/>
  <c r="E35" i="12" s="1"/>
  <c r="J50" i="12"/>
  <c r="L34" i="12"/>
  <c r="L35" i="12" s="1"/>
  <c r="L33" i="12"/>
  <c r="H25" i="12"/>
  <c r="H9" i="16" s="1"/>
  <c r="K25" i="12"/>
  <c r="K9" i="16" s="1"/>
  <c r="D25" i="12"/>
  <c r="D9" i="16" s="1"/>
  <c r="F25" i="12"/>
  <c r="F9" i="16" s="1"/>
  <c r="I51" i="12"/>
  <c r="F52" i="12"/>
  <c r="F53" i="12" s="1"/>
  <c r="K55" i="12"/>
  <c r="G51" i="12"/>
  <c r="E52" i="12"/>
  <c r="L52" i="12"/>
  <c r="L53" i="12" s="1"/>
  <c r="D49" i="12"/>
  <c r="D50" i="12" s="1"/>
  <c r="H52" i="12"/>
  <c r="G34" i="12" l="1"/>
  <c r="G35" i="12" s="1"/>
  <c r="G33" i="12"/>
  <c r="I34" i="12"/>
  <c r="I35" i="12" s="1"/>
  <c r="I33" i="12"/>
  <c r="L25" i="12"/>
  <c r="L9" i="16" s="1"/>
  <c r="E25" i="12"/>
  <c r="E9" i="16" s="1"/>
  <c r="J51" i="12"/>
  <c r="J52" i="12" s="1"/>
  <c r="J53" i="12" s="1"/>
  <c r="I52" i="12"/>
  <c r="I53" i="12" s="1"/>
  <c r="G52" i="12"/>
  <c r="G53" i="12" s="1"/>
  <c r="G54" i="12" s="1"/>
  <c r="L54" i="12"/>
  <c r="L55" i="12" s="1"/>
  <c r="H53" i="12"/>
  <c r="E53" i="12"/>
  <c r="D51" i="12"/>
  <c r="F54" i="12"/>
  <c r="K56" i="12"/>
  <c r="K105" i="12" s="1"/>
  <c r="G25" i="12" l="1"/>
  <c r="G9" i="16" s="1"/>
  <c r="I25" i="12"/>
  <c r="I9" i="16" s="1"/>
  <c r="J54" i="12"/>
  <c r="I54" i="12"/>
  <c r="I55" i="12" s="1"/>
  <c r="K57" i="12"/>
  <c r="K58" i="12" s="1"/>
  <c r="K59" i="12" s="1"/>
  <c r="K60" i="12" s="1"/>
  <c r="L56" i="12"/>
  <c r="L57" i="12" s="1"/>
  <c r="E54" i="12"/>
  <c r="E55" i="12" s="1"/>
  <c r="E56" i="12" s="1"/>
  <c r="D52" i="12"/>
  <c r="F55" i="12"/>
  <c r="H54" i="12"/>
  <c r="H55" i="12" s="1"/>
  <c r="G55" i="12"/>
  <c r="K61" i="12" l="1"/>
  <c r="K62" i="12" s="1"/>
  <c r="K63" i="12" s="1"/>
  <c r="K64" i="12" s="1"/>
  <c r="J55" i="12"/>
  <c r="H56" i="12"/>
  <c r="H105" i="12" s="1"/>
  <c r="L58" i="12"/>
  <c r="L59" i="12" s="1"/>
  <c r="I56" i="12"/>
  <c r="I105" i="12" s="1"/>
  <c r="L105" i="12"/>
  <c r="E105" i="12"/>
  <c r="E57" i="12"/>
  <c r="G56" i="12"/>
  <c r="F56" i="12"/>
  <c r="D53" i="12"/>
  <c r="D54" i="12" s="1"/>
  <c r="D55" i="12" s="1"/>
  <c r="D56" i="12" s="1"/>
  <c r="D57" i="12" s="1"/>
  <c r="K65" i="12" l="1"/>
  <c r="K66" i="12" s="1"/>
  <c r="K67" i="12" s="1"/>
  <c r="K68" i="12" s="1"/>
  <c r="K69" i="12" s="1"/>
  <c r="J56" i="12"/>
  <c r="J57" i="12" s="1"/>
  <c r="L60" i="12"/>
  <c r="L61" i="12" s="1"/>
  <c r="I57" i="12"/>
  <c r="H57" i="12"/>
  <c r="H58" i="12" s="1"/>
  <c r="H59" i="12" s="1"/>
  <c r="H60" i="12" s="1"/>
  <c r="H61" i="12" s="1"/>
  <c r="H62" i="12" s="1"/>
  <c r="H63" i="12" s="1"/>
  <c r="H64" i="12" s="1"/>
  <c r="H65" i="12" s="1"/>
  <c r="H66" i="12" s="1"/>
  <c r="H67" i="12" s="1"/>
  <c r="H68" i="12" s="1"/>
  <c r="H69" i="12" s="1"/>
  <c r="D58" i="12"/>
  <c r="D59" i="12" s="1"/>
  <c r="D60" i="12" s="1"/>
  <c r="D61" i="12" s="1"/>
  <c r="D62" i="12" s="1"/>
  <c r="D63" i="12" s="1"/>
  <c r="D64" i="12" s="1"/>
  <c r="D65" i="12" s="1"/>
  <c r="D66" i="12" s="1"/>
  <c r="D67" i="12" s="1"/>
  <c r="D68" i="12" s="1"/>
  <c r="D69" i="12" s="1"/>
  <c r="E58" i="12"/>
  <c r="E59" i="12" s="1"/>
  <c r="E60" i="12" s="1"/>
  <c r="E61" i="12" s="1"/>
  <c r="E62" i="12" s="1"/>
  <c r="E63" i="12" s="1"/>
  <c r="E64" i="12" s="1"/>
  <c r="E65" i="12" s="1"/>
  <c r="E66" i="12" s="1"/>
  <c r="E67" i="12" s="1"/>
  <c r="E68" i="12" s="1"/>
  <c r="E69" i="12" s="1"/>
  <c r="D105" i="12"/>
  <c r="F105" i="12"/>
  <c r="F57" i="12"/>
  <c r="G105" i="12"/>
  <c r="G57" i="12"/>
  <c r="K106" i="12" l="1"/>
  <c r="J105" i="12"/>
  <c r="L62" i="12"/>
  <c r="L63" i="12" s="1"/>
  <c r="L64" i="12" s="1"/>
  <c r="L65" i="12" s="1"/>
  <c r="L66" i="12" s="1"/>
  <c r="L67" i="12" s="1"/>
  <c r="L68" i="12" s="1"/>
  <c r="L69" i="12" s="1"/>
  <c r="I58" i="12"/>
  <c r="I59" i="12" s="1"/>
  <c r="J58" i="12"/>
  <c r="J59" i="12" s="1"/>
  <c r="J60" i="12" s="1"/>
  <c r="J61" i="12" s="1"/>
  <c r="J62" i="12" s="1"/>
  <c r="J63" i="12" s="1"/>
  <c r="J64" i="12" s="1"/>
  <c r="J65" i="12" s="1"/>
  <c r="J66" i="12" s="1"/>
  <c r="J67" i="12" s="1"/>
  <c r="J68" i="12" s="1"/>
  <c r="J69" i="12" s="1"/>
  <c r="K70" i="12"/>
  <c r="E106" i="12"/>
  <c r="H70" i="12"/>
  <c r="H71" i="12" s="1"/>
  <c r="H72" i="12" s="1"/>
  <c r="H73" i="12" s="1"/>
  <c r="H74" i="12" s="1"/>
  <c r="H75" i="12" s="1"/>
  <c r="H76" i="12" s="1"/>
  <c r="H77" i="12" s="1"/>
  <c r="H78" i="12" s="1"/>
  <c r="H79" i="12" s="1"/>
  <c r="H80" i="12" s="1"/>
  <c r="H81" i="12" s="1"/>
  <c r="F58" i="12"/>
  <c r="F59" i="12" s="1"/>
  <c r="F60" i="12" s="1"/>
  <c r="F61" i="12" s="1"/>
  <c r="F62" i="12" s="1"/>
  <c r="F63" i="12" s="1"/>
  <c r="F64" i="12" s="1"/>
  <c r="F65" i="12" s="1"/>
  <c r="F66" i="12" s="1"/>
  <c r="F67" i="12" s="1"/>
  <c r="F68" i="12" s="1"/>
  <c r="F69" i="12" s="1"/>
  <c r="H106" i="12"/>
  <c r="D70" i="12"/>
  <c r="D71" i="12" s="1"/>
  <c r="D72" i="12" s="1"/>
  <c r="D73" i="12" s="1"/>
  <c r="D74" i="12" s="1"/>
  <c r="D75" i="12" s="1"/>
  <c r="D76" i="12" s="1"/>
  <c r="D77" i="12" s="1"/>
  <c r="D78" i="12" s="1"/>
  <c r="D79" i="12" s="1"/>
  <c r="D80" i="12" s="1"/>
  <c r="D81" i="12" s="1"/>
  <c r="G58" i="12"/>
  <c r="G59" i="12" s="1"/>
  <c r="G60" i="12" s="1"/>
  <c r="G61" i="12" s="1"/>
  <c r="G62" i="12" s="1"/>
  <c r="G63" i="12" s="1"/>
  <c r="G64" i="12" s="1"/>
  <c r="G65" i="12" s="1"/>
  <c r="G66" i="12" s="1"/>
  <c r="G67" i="12" s="1"/>
  <c r="G68" i="12" s="1"/>
  <c r="G69" i="12" s="1"/>
  <c r="E70" i="12"/>
  <c r="E71" i="12" s="1"/>
  <c r="E72" i="12" s="1"/>
  <c r="E73" i="12" s="1"/>
  <c r="E74" i="12" s="1"/>
  <c r="E75" i="12" s="1"/>
  <c r="E76" i="12" s="1"/>
  <c r="E77" i="12" s="1"/>
  <c r="E78" i="12" s="1"/>
  <c r="E79" i="12" s="1"/>
  <c r="E80" i="12" s="1"/>
  <c r="E81" i="12" s="1"/>
  <c r="D106" i="12"/>
  <c r="I60" i="12" l="1"/>
  <c r="I61" i="12" s="1"/>
  <c r="I62" i="12" s="1"/>
  <c r="I63" i="12" s="1"/>
  <c r="I64" i="12" s="1"/>
  <c r="I65" i="12" s="1"/>
  <c r="I66" i="12" s="1"/>
  <c r="I67" i="12" s="1"/>
  <c r="I68" i="12" s="1"/>
  <c r="I69" i="12" s="1"/>
  <c r="K71" i="12"/>
  <c r="L106" i="12"/>
  <c r="J106" i="12"/>
  <c r="L70" i="12"/>
  <c r="L71" i="12" s="1"/>
  <c r="L72" i="12" s="1"/>
  <c r="L73" i="12" s="1"/>
  <c r="L74" i="12" s="1"/>
  <c r="L75" i="12" s="1"/>
  <c r="L76" i="12" s="1"/>
  <c r="L77" i="12" s="1"/>
  <c r="L78" i="12" s="1"/>
  <c r="L79" i="12" s="1"/>
  <c r="L80" i="12" s="1"/>
  <c r="L81" i="12" s="1"/>
  <c r="J70" i="12"/>
  <c r="D107" i="12"/>
  <c r="G70" i="12"/>
  <c r="G71" i="12" s="1"/>
  <c r="G72" i="12" s="1"/>
  <c r="G73" i="12" s="1"/>
  <c r="G74" i="12" s="1"/>
  <c r="G75" i="12" s="1"/>
  <c r="G76" i="12" s="1"/>
  <c r="G77" i="12" s="1"/>
  <c r="G78" i="12" s="1"/>
  <c r="G79" i="12" s="1"/>
  <c r="G80" i="12" s="1"/>
  <c r="G81" i="12" s="1"/>
  <c r="E82" i="12"/>
  <c r="E83" i="12" s="1"/>
  <c r="E84" i="12" s="1"/>
  <c r="E85" i="12" s="1"/>
  <c r="E86" i="12" s="1"/>
  <c r="E87" i="12" s="1"/>
  <c r="E88" i="12" s="1"/>
  <c r="E89" i="12" s="1"/>
  <c r="E90" i="12" s="1"/>
  <c r="E91" i="12" s="1"/>
  <c r="E92" i="12" s="1"/>
  <c r="E93" i="12" s="1"/>
  <c r="G106" i="12"/>
  <c r="H82" i="12"/>
  <c r="H83" i="12" s="1"/>
  <c r="H84" i="12" s="1"/>
  <c r="H85" i="12" s="1"/>
  <c r="H86" i="12" s="1"/>
  <c r="H87" i="12" s="1"/>
  <c r="H88" i="12" s="1"/>
  <c r="H89" i="12" s="1"/>
  <c r="H90" i="12" s="1"/>
  <c r="H91" i="12" s="1"/>
  <c r="H92" i="12" s="1"/>
  <c r="H93" i="12" s="1"/>
  <c r="E107" i="12"/>
  <c r="D82" i="12"/>
  <c r="D83" i="12" s="1"/>
  <c r="D84" i="12" s="1"/>
  <c r="D85" i="12" s="1"/>
  <c r="D86" i="12" s="1"/>
  <c r="D87" i="12" s="1"/>
  <c r="D88" i="12" s="1"/>
  <c r="D89" i="12" s="1"/>
  <c r="D90" i="12" s="1"/>
  <c r="D91" i="12" s="1"/>
  <c r="D92" i="12" s="1"/>
  <c r="D93" i="12" s="1"/>
  <c r="F106" i="12"/>
  <c r="H107" i="12"/>
  <c r="F70" i="12"/>
  <c r="F71" i="12" s="1"/>
  <c r="F72" i="12" s="1"/>
  <c r="F73" i="12" s="1"/>
  <c r="F74" i="12" s="1"/>
  <c r="F75" i="12" s="1"/>
  <c r="F76" i="12" s="1"/>
  <c r="F77" i="12" s="1"/>
  <c r="F78" i="12" s="1"/>
  <c r="F79" i="12" s="1"/>
  <c r="F80" i="12" s="1"/>
  <c r="F81" i="12" s="1"/>
  <c r="I70" i="12" l="1"/>
  <c r="I71" i="12" s="1"/>
  <c r="I72" i="12" s="1"/>
  <c r="I73" i="12" s="1"/>
  <c r="I74" i="12" s="1"/>
  <c r="I75" i="12" s="1"/>
  <c r="I76" i="12" s="1"/>
  <c r="I77" i="12" s="1"/>
  <c r="I78" i="12" s="1"/>
  <c r="I79" i="12" s="1"/>
  <c r="I80" i="12" s="1"/>
  <c r="I81" i="12" s="1"/>
  <c r="I106" i="12"/>
  <c r="K72" i="12"/>
  <c r="L82" i="12"/>
  <c r="L107" i="12"/>
  <c r="J71" i="12"/>
  <c r="G82" i="12"/>
  <c r="G83" i="12" s="1"/>
  <c r="G84" i="12" s="1"/>
  <c r="G85" i="12" s="1"/>
  <c r="G86" i="12" s="1"/>
  <c r="G87" i="12" s="1"/>
  <c r="G88" i="12" s="1"/>
  <c r="G89" i="12" s="1"/>
  <c r="G90" i="12" s="1"/>
  <c r="G91" i="12" s="1"/>
  <c r="G92" i="12" s="1"/>
  <c r="G93" i="12" s="1"/>
  <c r="H108" i="12"/>
  <c r="F82" i="12"/>
  <c r="F83" i="12" s="1"/>
  <c r="F84" i="12" s="1"/>
  <c r="F85" i="12" s="1"/>
  <c r="F86" i="12" s="1"/>
  <c r="F87" i="12" s="1"/>
  <c r="F88" i="12" s="1"/>
  <c r="F89" i="12" s="1"/>
  <c r="F90" i="12" s="1"/>
  <c r="F91" i="12" s="1"/>
  <c r="F92" i="12" s="1"/>
  <c r="F93" i="12" s="1"/>
  <c r="D94" i="12"/>
  <c r="D95" i="12" s="1"/>
  <c r="D96" i="12" s="1"/>
  <c r="D97" i="12" s="1"/>
  <c r="D98" i="12" s="1"/>
  <c r="D99" i="12" s="1"/>
  <c r="D100" i="12" s="1"/>
  <c r="D101" i="12" s="1"/>
  <c r="D102" i="12" s="1"/>
  <c r="D103" i="12" s="1"/>
  <c r="D104" i="12" s="1"/>
  <c r="E108" i="12"/>
  <c r="H94" i="12"/>
  <c r="H95" i="12" s="1"/>
  <c r="H96" i="12" s="1"/>
  <c r="H97" i="12" s="1"/>
  <c r="H98" i="12" s="1"/>
  <c r="H99" i="12" s="1"/>
  <c r="H100" i="12" s="1"/>
  <c r="H101" i="12" s="1"/>
  <c r="H102" i="12" s="1"/>
  <c r="H103" i="12" s="1"/>
  <c r="H104" i="12" s="1"/>
  <c r="E94" i="12"/>
  <c r="E95" i="12" s="1"/>
  <c r="E96" i="12" s="1"/>
  <c r="E97" i="12" s="1"/>
  <c r="E98" i="12" s="1"/>
  <c r="E99" i="12" s="1"/>
  <c r="E100" i="12" s="1"/>
  <c r="E101" i="12" s="1"/>
  <c r="E102" i="12" s="1"/>
  <c r="E103" i="12" s="1"/>
  <c r="E104" i="12" s="1"/>
  <c r="G107" i="12"/>
  <c r="F107" i="12"/>
  <c r="D108" i="12"/>
  <c r="I82" i="12" l="1"/>
  <c r="I83" i="12" s="1"/>
  <c r="I84" i="12" s="1"/>
  <c r="I85" i="12" s="1"/>
  <c r="I86" i="12" s="1"/>
  <c r="I87" i="12" s="1"/>
  <c r="I88" i="12" s="1"/>
  <c r="I89" i="12" s="1"/>
  <c r="I90" i="12" s="1"/>
  <c r="I91" i="12" s="1"/>
  <c r="I92" i="12" s="1"/>
  <c r="I93" i="12" s="1"/>
  <c r="I107" i="12"/>
  <c r="L83" i="12"/>
  <c r="L84" i="12" s="1"/>
  <c r="L85" i="12" s="1"/>
  <c r="L86" i="12" s="1"/>
  <c r="L87" i="12" s="1"/>
  <c r="L88" i="12" s="1"/>
  <c r="L89" i="12" s="1"/>
  <c r="L90" i="12" s="1"/>
  <c r="L91" i="12" s="1"/>
  <c r="L92" i="12" s="1"/>
  <c r="L93" i="12" s="1"/>
  <c r="J72" i="12"/>
  <c r="K73" i="12"/>
  <c r="E109" i="12"/>
  <c r="E110" i="12" s="1"/>
  <c r="E111" i="12" s="1"/>
  <c r="E44" i="12" s="1"/>
  <c r="E11" i="16" s="1"/>
  <c r="E12" i="16" s="1"/>
  <c r="E6" i="16" s="1"/>
  <c r="E46" i="16" s="1"/>
  <c r="F108" i="12"/>
  <c r="D109" i="12"/>
  <c r="D110" i="12" s="1"/>
  <c r="D111" i="12" s="1"/>
  <c r="D44" i="12" s="1"/>
  <c r="D11" i="16" s="1"/>
  <c r="D12" i="16" s="1"/>
  <c r="D6" i="16" s="1"/>
  <c r="G94" i="12"/>
  <c r="G95" i="12" s="1"/>
  <c r="G96" i="12" s="1"/>
  <c r="G97" i="12" s="1"/>
  <c r="G98" i="12" s="1"/>
  <c r="G99" i="12" s="1"/>
  <c r="G100" i="12" s="1"/>
  <c r="G101" i="12" s="1"/>
  <c r="G102" i="12" s="1"/>
  <c r="G103" i="12" s="1"/>
  <c r="G104" i="12" s="1"/>
  <c r="H109" i="12"/>
  <c r="H110" i="12" s="1"/>
  <c r="H111" i="12" s="1"/>
  <c r="H44" i="12" s="1"/>
  <c r="H11" i="16" s="1"/>
  <c r="H12" i="16" s="1"/>
  <c r="H6" i="16" s="1"/>
  <c r="F94" i="12"/>
  <c r="F95" i="12" s="1"/>
  <c r="F96" i="12" s="1"/>
  <c r="F97" i="12" s="1"/>
  <c r="F98" i="12" s="1"/>
  <c r="F99" i="12" s="1"/>
  <c r="F100" i="12" s="1"/>
  <c r="F101" i="12" s="1"/>
  <c r="F102" i="12" s="1"/>
  <c r="F103" i="12" s="1"/>
  <c r="F104" i="12" s="1"/>
  <c r="G108" i="12"/>
  <c r="I108" i="12" l="1"/>
  <c r="I94" i="12"/>
  <c r="I95" i="12" s="1"/>
  <c r="I96" i="12" s="1"/>
  <c r="I97" i="12" s="1"/>
  <c r="I98" i="12" s="1"/>
  <c r="I99" i="12" s="1"/>
  <c r="I100" i="12" s="1"/>
  <c r="I101" i="12" s="1"/>
  <c r="I102" i="12" s="1"/>
  <c r="I103" i="12" s="1"/>
  <c r="I104" i="12" s="1"/>
  <c r="L108" i="12"/>
  <c r="L94" i="12"/>
  <c r="L95" i="12" s="1"/>
  <c r="L96" i="12" s="1"/>
  <c r="L97" i="12" s="1"/>
  <c r="L98" i="12" s="1"/>
  <c r="L99" i="12" s="1"/>
  <c r="L100" i="12" s="1"/>
  <c r="L101" i="12" s="1"/>
  <c r="L102" i="12" s="1"/>
  <c r="L103" i="12" s="1"/>
  <c r="L104" i="12" s="1"/>
  <c r="K74" i="12"/>
  <c r="J73" i="12"/>
  <c r="F109" i="12"/>
  <c r="F110" i="12" s="1"/>
  <c r="F111" i="12" s="1"/>
  <c r="F44" i="12" s="1"/>
  <c r="F11" i="16" s="1"/>
  <c r="F12" i="16" s="1"/>
  <c r="F6" i="16" s="1"/>
  <c r="F51" i="16" s="1"/>
  <c r="E51" i="16"/>
  <c r="E69" i="16" s="1"/>
  <c r="E80" i="16" s="1"/>
  <c r="E13" i="18" s="1"/>
  <c r="H46" i="16"/>
  <c r="H51" i="16"/>
  <c r="G109" i="12"/>
  <c r="G110" i="12" s="1"/>
  <c r="G111" i="12" s="1"/>
  <c r="G44" i="12" s="1"/>
  <c r="G11" i="16" s="1"/>
  <c r="G12" i="16" s="1"/>
  <c r="G6" i="16" s="1"/>
  <c r="D51" i="16"/>
  <c r="D46" i="16"/>
  <c r="I109" i="12" l="1"/>
  <c r="I110" i="12" s="1"/>
  <c r="I111" i="12" s="1"/>
  <c r="I44" i="12" s="1"/>
  <c r="I11" i="16" s="1"/>
  <c r="I12" i="16" s="1"/>
  <c r="I6" i="16" s="1"/>
  <c r="I46" i="16" s="1"/>
  <c r="L109" i="12"/>
  <c r="L110" i="12" s="1"/>
  <c r="L111" i="12" s="1"/>
  <c r="L44" i="12" s="1"/>
  <c r="L11" i="16" s="1"/>
  <c r="L12" i="16" s="1"/>
  <c r="L6" i="16" s="1"/>
  <c r="L46" i="16" s="1"/>
  <c r="J74" i="12"/>
  <c r="K75" i="12"/>
  <c r="D72" i="16"/>
  <c r="D83" i="16" s="1"/>
  <c r="D94" i="16" s="1"/>
  <c r="D105" i="16" s="1"/>
  <c r="E74" i="16"/>
  <c r="E85" i="16" s="1"/>
  <c r="E18" i="18" s="1"/>
  <c r="E70" i="16"/>
  <c r="E81" i="16" s="1"/>
  <c r="E14" i="18" s="1"/>
  <c r="E75" i="16"/>
  <c r="E86" i="16" s="1"/>
  <c r="E97" i="16" s="1"/>
  <c r="E108" i="16" s="1"/>
  <c r="E72" i="16"/>
  <c r="E83" i="16" s="1"/>
  <c r="E94" i="16" s="1"/>
  <c r="E105" i="16" s="1"/>
  <c r="E73" i="16"/>
  <c r="E84" i="16" s="1"/>
  <c r="E17" i="18" s="1"/>
  <c r="E71" i="16"/>
  <c r="E82" i="16" s="1"/>
  <c r="E93" i="16" s="1"/>
  <c r="E104" i="16" s="1"/>
  <c r="D70" i="16"/>
  <c r="D81" i="16" s="1"/>
  <c r="E7" i="18" s="1"/>
  <c r="H72" i="16"/>
  <c r="H83" i="16" s="1"/>
  <c r="H94" i="16" s="1"/>
  <c r="H105" i="16" s="1"/>
  <c r="E91" i="16"/>
  <c r="E102" i="16" s="1"/>
  <c r="D71" i="16"/>
  <c r="D82" i="16" s="1"/>
  <c r="D93" i="16" s="1"/>
  <c r="D104" i="16" s="1"/>
  <c r="F46" i="16"/>
  <c r="F72" i="16" s="1"/>
  <c r="F83" i="16" s="1"/>
  <c r="D69" i="16"/>
  <c r="D75" i="16"/>
  <c r="D86" i="16" s="1"/>
  <c r="E12" i="18" s="1"/>
  <c r="H70" i="16"/>
  <c r="H81" i="16" s="1"/>
  <c r="H92" i="16" s="1"/>
  <c r="H103" i="16" s="1"/>
  <c r="G46" i="16"/>
  <c r="G51" i="16"/>
  <c r="H69" i="16"/>
  <c r="H80" i="16" s="1"/>
  <c r="D73" i="16"/>
  <c r="D84" i="16" s="1"/>
  <c r="D74" i="16"/>
  <c r="D85" i="16" s="1"/>
  <c r="H74" i="16"/>
  <c r="H85" i="16" s="1"/>
  <c r="H71" i="16"/>
  <c r="H82" i="16" s="1"/>
  <c r="H75" i="16"/>
  <c r="H86" i="16" s="1"/>
  <c r="H73" i="16"/>
  <c r="H84" i="16" s="1"/>
  <c r="D80" i="16" l="1"/>
  <c r="D91" i="16" s="1"/>
  <c r="D102" i="16" s="1"/>
  <c r="F16" i="18"/>
  <c r="G13" i="18"/>
  <c r="E15" i="18"/>
  <c r="I51" i="16"/>
  <c r="I70" i="16" s="1"/>
  <c r="I81" i="16" s="1"/>
  <c r="E9" i="18"/>
  <c r="E92" i="16"/>
  <c r="E103" i="16" s="1"/>
  <c r="F13" i="18"/>
  <c r="L51" i="16"/>
  <c r="L72" i="16" s="1"/>
  <c r="L83" i="16" s="1"/>
  <c r="E95" i="16"/>
  <c r="E106" i="16" s="1"/>
  <c r="K76" i="12"/>
  <c r="K77" i="12" s="1"/>
  <c r="K78" i="12" s="1"/>
  <c r="K79" i="12" s="1"/>
  <c r="K80" i="12" s="1"/>
  <c r="K81" i="12" s="1"/>
  <c r="F71" i="16"/>
  <c r="F82" i="16" s="1"/>
  <c r="E22" i="18" s="1"/>
  <c r="F74" i="16"/>
  <c r="F85" i="16" s="1"/>
  <c r="F96" i="16" s="1"/>
  <c r="F107" i="16" s="1"/>
  <c r="F75" i="16"/>
  <c r="F86" i="16" s="1"/>
  <c r="E26" i="18" s="1"/>
  <c r="J75" i="12"/>
  <c r="J76" i="12" s="1"/>
  <c r="J77" i="12" s="1"/>
  <c r="J78" i="12" s="1"/>
  <c r="J79" i="12" s="1"/>
  <c r="J80" i="12" s="1"/>
  <c r="E19" i="18"/>
  <c r="E96" i="16"/>
  <c r="E107" i="16" s="1"/>
  <c r="D92" i="16"/>
  <c r="D103" i="16" s="1"/>
  <c r="G16" i="18"/>
  <c r="E16" i="18"/>
  <c r="E6" i="18"/>
  <c r="E8" i="18"/>
  <c r="E37" i="18"/>
  <c r="E35" i="18"/>
  <c r="G71" i="16"/>
  <c r="G82" i="16" s="1"/>
  <c r="G93" i="16" s="1"/>
  <c r="G104" i="16" s="1"/>
  <c r="D97" i="16"/>
  <c r="D108" i="16" s="1"/>
  <c r="F69" i="16"/>
  <c r="F80" i="16" s="1"/>
  <c r="F73" i="16"/>
  <c r="F84" i="16" s="1"/>
  <c r="F70" i="16"/>
  <c r="F81" i="16" s="1"/>
  <c r="E21" i="18" s="1"/>
  <c r="F19" i="18"/>
  <c r="G19" i="18"/>
  <c r="F35" i="18"/>
  <c r="G35" i="18"/>
  <c r="F8" i="18"/>
  <c r="G8" i="18"/>
  <c r="E23" i="18"/>
  <c r="F94" i="16"/>
  <c r="F105" i="16" s="1"/>
  <c r="H97" i="16"/>
  <c r="H108" i="16" s="1"/>
  <c r="E40" i="18"/>
  <c r="E10" i="18"/>
  <c r="D95" i="16"/>
  <c r="D106" i="16" s="1"/>
  <c r="G73" i="16"/>
  <c r="G84" i="16" s="1"/>
  <c r="G70" i="16"/>
  <c r="G81" i="16" s="1"/>
  <c r="G37" i="18"/>
  <c r="F37" i="18"/>
  <c r="F15" i="18"/>
  <c r="G15" i="18"/>
  <c r="H96" i="16"/>
  <c r="H107" i="16" s="1"/>
  <c r="E39" i="18"/>
  <c r="G72" i="16"/>
  <c r="G83" i="16" s="1"/>
  <c r="G69" i="16"/>
  <c r="G80" i="16" s="1"/>
  <c r="D96" i="16"/>
  <c r="D107" i="16" s="1"/>
  <c r="E11" i="18"/>
  <c r="G75" i="16"/>
  <c r="G86" i="16" s="1"/>
  <c r="G74" i="16"/>
  <c r="G85" i="16" s="1"/>
  <c r="E38" i="18"/>
  <c r="H95" i="16"/>
  <c r="H106" i="16" s="1"/>
  <c r="F9" i="18"/>
  <c r="G9" i="18"/>
  <c r="E36" i="18"/>
  <c r="H93" i="16"/>
  <c r="H104" i="16" s="1"/>
  <c r="H91" i="16"/>
  <c r="H102" i="16" s="1"/>
  <c r="E34" i="18"/>
  <c r="G6" i="18" l="1"/>
  <c r="F6" i="18"/>
  <c r="F14" i="18"/>
  <c r="G12" i="18"/>
  <c r="G7" i="18"/>
  <c r="G17" i="18"/>
  <c r="G18" i="18"/>
  <c r="G14" i="18"/>
  <c r="E25" i="18"/>
  <c r="I75" i="16"/>
  <c r="I86" i="16" s="1"/>
  <c r="I72" i="16"/>
  <c r="I83" i="16" s="1"/>
  <c r="I73" i="16"/>
  <c r="I84" i="16" s="1"/>
  <c r="I71" i="16"/>
  <c r="I82" i="16" s="1"/>
  <c r="I74" i="16"/>
  <c r="I85" i="16" s="1"/>
  <c r="I92" i="16"/>
  <c r="I103" i="16" s="1"/>
  <c r="E42" i="18"/>
  <c r="I69" i="16"/>
  <c r="I80" i="16" s="1"/>
  <c r="F93" i="16"/>
  <c r="F104" i="16" s="1"/>
  <c r="F17" i="18"/>
  <c r="L94" i="16"/>
  <c r="L105" i="16" s="1"/>
  <c r="E65" i="18"/>
  <c r="L75" i="16"/>
  <c r="L86" i="16" s="1"/>
  <c r="E68" i="18" s="1"/>
  <c r="L74" i="16"/>
  <c r="L85" i="16" s="1"/>
  <c r="L71" i="16"/>
  <c r="L82" i="16" s="1"/>
  <c r="L93" i="16" s="1"/>
  <c r="L104" i="16" s="1"/>
  <c r="L70" i="16"/>
  <c r="L81" i="16" s="1"/>
  <c r="L73" i="16"/>
  <c r="L84" i="16" s="1"/>
  <c r="L69" i="16"/>
  <c r="L80" i="16" s="1"/>
  <c r="K107" i="12"/>
  <c r="F97" i="16"/>
  <c r="F108" i="16" s="1"/>
  <c r="J81" i="12"/>
  <c r="J107" i="12"/>
  <c r="K82" i="12"/>
  <c r="F18" i="18"/>
  <c r="F7" i="18"/>
  <c r="F12" i="18"/>
  <c r="F92" i="16"/>
  <c r="F103" i="16" s="1"/>
  <c r="E29" i="18"/>
  <c r="E24" i="18"/>
  <c r="F95" i="16"/>
  <c r="F106" i="16" s="1"/>
  <c r="E20" i="18"/>
  <c r="F91" i="16"/>
  <c r="F102" i="16" s="1"/>
  <c r="F36" i="18"/>
  <c r="G36" i="18"/>
  <c r="E28" i="18"/>
  <c r="G92" i="16"/>
  <c r="G103" i="16" s="1"/>
  <c r="G10" i="18"/>
  <c r="F10" i="18"/>
  <c r="F25" i="18"/>
  <c r="G25" i="18"/>
  <c r="G94" i="16"/>
  <c r="G105" i="16" s="1"/>
  <c r="E30" i="18"/>
  <c r="G95" i="16"/>
  <c r="G106" i="16" s="1"/>
  <c r="E31" i="18"/>
  <c r="G96" i="16"/>
  <c r="G107" i="16" s="1"/>
  <c r="E32" i="18"/>
  <c r="F29" i="18"/>
  <c r="G29" i="18"/>
  <c r="F38" i="18"/>
  <c r="G38" i="18"/>
  <c r="G91" i="16"/>
  <c r="G102" i="16" s="1"/>
  <c r="E27" i="18"/>
  <c r="F23" i="18"/>
  <c r="G23" i="18"/>
  <c r="G39" i="18"/>
  <c r="F39" i="18"/>
  <c r="F34" i="18"/>
  <c r="G34" i="18"/>
  <c r="E33" i="18"/>
  <c r="G97" i="16"/>
  <c r="G108" i="16" s="1"/>
  <c r="G11" i="18"/>
  <c r="F11" i="18"/>
  <c r="F40" i="18"/>
  <c r="G40" i="18"/>
  <c r="G26" i="18" l="1"/>
  <c r="G21" i="18"/>
  <c r="G65" i="18"/>
  <c r="F22" i="18"/>
  <c r="L97" i="16"/>
  <c r="L108" i="16" s="1"/>
  <c r="G22" i="18"/>
  <c r="E64" i="18"/>
  <c r="I93" i="16"/>
  <c r="I104" i="16" s="1"/>
  <c r="E43" i="18"/>
  <c r="E45" i="18"/>
  <c r="I95" i="16"/>
  <c r="I106" i="16" s="1"/>
  <c r="F26" i="18"/>
  <c r="G42" i="18"/>
  <c r="F42" i="18"/>
  <c r="E44" i="18"/>
  <c r="I94" i="16"/>
  <c r="I105" i="16" s="1"/>
  <c r="I91" i="16"/>
  <c r="I102" i="16" s="1"/>
  <c r="E41" i="18"/>
  <c r="I96" i="16"/>
  <c r="I107" i="16" s="1"/>
  <c r="E46" i="18"/>
  <c r="E47" i="18"/>
  <c r="I97" i="16"/>
  <c r="I108" i="16" s="1"/>
  <c r="F65" i="18"/>
  <c r="L96" i="16"/>
  <c r="L107" i="16" s="1"/>
  <c r="E67" i="18"/>
  <c r="L95" i="16"/>
  <c r="L106" i="16" s="1"/>
  <c r="E66" i="18"/>
  <c r="L91" i="16"/>
  <c r="L102" i="16" s="1"/>
  <c r="E62" i="18"/>
  <c r="E63" i="18"/>
  <c r="L92" i="16"/>
  <c r="L103" i="16" s="1"/>
  <c r="J82" i="12"/>
  <c r="J83" i="12" s="1"/>
  <c r="J84" i="12" s="1"/>
  <c r="J85" i="12" s="1"/>
  <c r="J86" i="12" s="1"/>
  <c r="J87" i="12" s="1"/>
  <c r="J88" i="12" s="1"/>
  <c r="J89" i="12" s="1"/>
  <c r="J90" i="12" s="1"/>
  <c r="J91" i="12" s="1"/>
  <c r="J92" i="12" s="1"/>
  <c r="J93" i="12" s="1"/>
  <c r="F68" i="18"/>
  <c r="G68" i="18"/>
  <c r="K83" i="12"/>
  <c r="K84" i="12" s="1"/>
  <c r="K85" i="12" s="1"/>
  <c r="K86" i="12" s="1"/>
  <c r="K87" i="12" s="1"/>
  <c r="K88" i="12" s="1"/>
  <c r="K89" i="12" s="1"/>
  <c r="K90" i="12" s="1"/>
  <c r="K91" i="12" s="1"/>
  <c r="K92" i="12" s="1"/>
  <c r="K93" i="12" s="1"/>
  <c r="G64" i="18"/>
  <c r="F64" i="18"/>
  <c r="F21" i="18"/>
  <c r="G20" i="18"/>
  <c r="F20" i="18"/>
  <c r="G24" i="18"/>
  <c r="F24" i="18"/>
  <c r="F32" i="18"/>
  <c r="G32" i="18"/>
  <c r="F27" i="18"/>
  <c r="G27" i="18"/>
  <c r="F30" i="18"/>
  <c r="G30" i="18"/>
  <c r="F31" i="18"/>
  <c r="G31" i="18"/>
  <c r="F33" i="18"/>
  <c r="G33" i="18"/>
  <c r="G28" i="18"/>
  <c r="F28" i="18"/>
  <c r="G46" i="18" l="1"/>
  <c r="F46" i="18"/>
  <c r="G45" i="18"/>
  <c r="F45" i="18"/>
  <c r="F47" i="18"/>
  <c r="G47" i="18"/>
  <c r="G41" i="18"/>
  <c r="F41" i="18"/>
  <c r="G44" i="18"/>
  <c r="F44" i="18"/>
  <c r="G43" i="18"/>
  <c r="F43" i="18"/>
  <c r="G66" i="18"/>
  <c r="F66" i="18"/>
  <c r="F63" i="18"/>
  <c r="G63" i="18"/>
  <c r="G62" i="18"/>
  <c r="F62" i="18"/>
  <c r="F67" i="18"/>
  <c r="G67" i="18"/>
  <c r="K94" i="12"/>
  <c r="K95" i="12" s="1"/>
  <c r="K96" i="12" s="1"/>
  <c r="K97" i="12" s="1"/>
  <c r="K98" i="12" s="1"/>
  <c r="K99" i="12" s="1"/>
  <c r="K100" i="12" s="1"/>
  <c r="K101" i="12" s="1"/>
  <c r="K102" i="12" s="1"/>
  <c r="K103" i="12" s="1"/>
  <c r="K104" i="12" s="1"/>
  <c r="K108" i="12"/>
  <c r="J94" i="12"/>
  <c r="J95" i="12" s="1"/>
  <c r="J96" i="12" s="1"/>
  <c r="J97" i="12" s="1"/>
  <c r="J98" i="12" s="1"/>
  <c r="J99" i="12" s="1"/>
  <c r="J100" i="12" s="1"/>
  <c r="J101" i="12" s="1"/>
  <c r="J102" i="12" s="1"/>
  <c r="J103" i="12" s="1"/>
  <c r="J104" i="12" s="1"/>
  <c r="J108" i="12"/>
  <c r="K109" i="12" l="1"/>
  <c r="K110" i="12" s="1"/>
  <c r="K111" i="12" s="1"/>
  <c r="K44" i="12" s="1"/>
  <c r="K11" i="16" s="1"/>
  <c r="K12" i="16" s="1"/>
  <c r="K6" i="16" s="1"/>
  <c r="J109" i="12"/>
  <c r="J110" i="12" s="1"/>
  <c r="J111" i="12" s="1"/>
  <c r="J44" i="12" s="1"/>
  <c r="J11" i="16" s="1"/>
  <c r="J12" i="16" s="1"/>
  <c r="J6" i="16" s="1"/>
  <c r="K51" i="16" l="1"/>
  <c r="K46" i="16"/>
  <c r="J51" i="16"/>
  <c r="J46" i="16"/>
  <c r="J75" i="16" l="1"/>
  <c r="J86" i="16" s="1"/>
  <c r="J70" i="16"/>
  <c r="K74" i="16"/>
  <c r="K85" i="16" s="1"/>
  <c r="K96" i="16" s="1"/>
  <c r="K107" i="16" s="1"/>
  <c r="K75" i="16"/>
  <c r="K86" i="16" s="1"/>
  <c r="K70" i="16"/>
  <c r="K81" i="16" s="1"/>
  <c r="K71" i="16"/>
  <c r="K82" i="16" s="1"/>
  <c r="K69" i="16"/>
  <c r="K80" i="16" s="1"/>
  <c r="K72" i="16"/>
  <c r="K83" i="16" s="1"/>
  <c r="K73" i="16"/>
  <c r="K84" i="16" s="1"/>
  <c r="J73" i="16"/>
  <c r="J84" i="16" s="1"/>
  <c r="J72" i="16"/>
  <c r="J83" i="16" s="1"/>
  <c r="J71" i="16"/>
  <c r="J82" i="16" s="1"/>
  <c r="J69" i="16"/>
  <c r="J80" i="16" s="1"/>
  <c r="J74" i="16"/>
  <c r="J85" i="16" s="1"/>
  <c r="J81" i="16" l="1"/>
  <c r="J92" i="16" s="1"/>
  <c r="F49" i="18" s="1"/>
  <c r="F60" i="18"/>
  <c r="E60" i="18"/>
  <c r="E61" i="18"/>
  <c r="K97" i="16"/>
  <c r="K108" i="16" s="1"/>
  <c r="G60" i="18"/>
  <c r="E57" i="18"/>
  <c r="K93" i="16"/>
  <c r="K104" i="16" s="1"/>
  <c r="K95" i="16"/>
  <c r="K106" i="16" s="1"/>
  <c r="E59" i="18"/>
  <c r="E56" i="18"/>
  <c r="K92" i="16"/>
  <c r="K103" i="16" s="1"/>
  <c r="K91" i="16"/>
  <c r="K102" i="16" s="1"/>
  <c r="E55" i="18"/>
  <c r="E58" i="18"/>
  <c r="K94" i="16"/>
  <c r="K105" i="16" s="1"/>
  <c r="J95" i="16"/>
  <c r="J106" i="16" s="1"/>
  <c r="E52" i="18"/>
  <c r="E54" i="18"/>
  <c r="C21" i="17" s="1"/>
  <c r="J97" i="16"/>
  <c r="J108" i="16" s="1"/>
  <c r="J94" i="16"/>
  <c r="J105" i="16" s="1"/>
  <c r="E51" i="18"/>
  <c r="E48" i="18"/>
  <c r="J91" i="16"/>
  <c r="J102" i="16" s="1"/>
  <c r="E53" i="18"/>
  <c r="J96" i="16"/>
  <c r="J107" i="16" s="1"/>
  <c r="J93" i="16"/>
  <c r="J104" i="16" s="1"/>
  <c r="E50" i="18"/>
  <c r="J103" i="16" l="1"/>
  <c r="G49" i="18" s="1"/>
  <c r="E49" i="18"/>
  <c r="G51" i="18"/>
  <c r="G48" i="18"/>
  <c r="G54" i="18"/>
  <c r="G50" i="18"/>
  <c r="G61" i="18"/>
  <c r="F61" i="18"/>
  <c r="G55" i="18"/>
  <c r="F55" i="18"/>
  <c r="F59" i="18"/>
  <c r="G59" i="18"/>
  <c r="F58" i="18"/>
  <c r="G58" i="18"/>
  <c r="F56" i="18"/>
  <c r="G56" i="18"/>
  <c r="G57" i="18"/>
  <c r="F57" i="18"/>
  <c r="F48" i="18"/>
  <c r="F54" i="18"/>
  <c r="C23" i="17" s="1"/>
  <c r="F50" i="18"/>
  <c r="G53" i="18"/>
  <c r="F53" i="18"/>
  <c r="F51" i="18"/>
  <c r="G52" i="18"/>
  <c r="F52" i="18"/>
  <c r="C25" i="17" l="1"/>
</calcChain>
</file>

<file path=xl/sharedStrings.xml><?xml version="1.0" encoding="utf-8"?>
<sst xmlns="http://schemas.openxmlformats.org/spreadsheetml/2006/main" count="1183" uniqueCount="789">
  <si>
    <t>Depreciation per year</t>
  </si>
  <si>
    <t>Depreciation of truck per year</t>
  </si>
  <si>
    <t>Insurance per year</t>
  </si>
  <si>
    <t>Crew Salary per year</t>
  </si>
  <si>
    <t>Permit &amp; Road tax per year</t>
  </si>
  <si>
    <t>Total fixed costs per year</t>
  </si>
  <si>
    <t>Driver</t>
  </si>
  <si>
    <t>Helper</t>
  </si>
  <si>
    <t>Interest costs at 11% per year</t>
  </si>
  <si>
    <t>Chassis Expenses+ Reg Charges</t>
  </si>
  <si>
    <t>Truck Type</t>
  </si>
  <si>
    <t>Data Input Sheet</t>
  </si>
  <si>
    <t>On road price (excluding RC)</t>
  </si>
  <si>
    <t>RC fitness (one time)</t>
  </si>
  <si>
    <t>Cabin &amp; Body making expenses</t>
  </si>
  <si>
    <t>Driver Salary</t>
  </si>
  <si>
    <t>Helper Salary</t>
  </si>
  <si>
    <t>Mileage-Full load</t>
  </si>
  <si>
    <t>Mileage-Empty load</t>
  </si>
  <si>
    <t>No.of tyre (pairs)</t>
  </si>
  <si>
    <t>Tyre life (without retreading)</t>
  </si>
  <si>
    <t>Tyre life (after 1st retreading)</t>
  </si>
  <si>
    <t>Engine oil change interval (kms)</t>
  </si>
  <si>
    <t>Gear oil change interval (kms)</t>
  </si>
  <si>
    <t>Axle oil change interval (kms)</t>
  </si>
  <si>
    <t>Coolant change interval (kms)</t>
  </si>
  <si>
    <t>Engine oil change Qty (per change)</t>
  </si>
  <si>
    <t>Gear oil change Qty (per change)</t>
  </si>
  <si>
    <t>Axle oil change Qty (per change)</t>
  </si>
  <si>
    <t>Coolant change Qty (per change)</t>
  </si>
  <si>
    <t>Fuel filter change interval (kms)</t>
  </si>
  <si>
    <t>Air filter change interval ( kms)</t>
  </si>
  <si>
    <t>Fuel filter cost</t>
  </si>
  <si>
    <t>Air filter cost</t>
  </si>
  <si>
    <t>Avg truck speed</t>
  </si>
  <si>
    <t>Engine oil cost (per )</t>
  </si>
  <si>
    <t>Gear oil cost (per )</t>
  </si>
  <si>
    <t>Axle oil cost (per )</t>
  </si>
  <si>
    <t>Coolant cost (per )</t>
  </si>
  <si>
    <t>Depreciation Working</t>
  </si>
  <si>
    <t>Landed Cost</t>
  </si>
  <si>
    <t>Salvage Value</t>
  </si>
  <si>
    <t>Rate</t>
  </si>
  <si>
    <t>Crew Salary Working</t>
  </si>
  <si>
    <t>Crew Salary PM</t>
  </si>
  <si>
    <t>Crew Salary PA</t>
  </si>
  <si>
    <t>Insurance Working</t>
  </si>
  <si>
    <t>Initial Asset Cost</t>
  </si>
  <si>
    <t>Premium Value 1st Year</t>
  </si>
  <si>
    <t>Premium Value 2nd Year</t>
  </si>
  <si>
    <t>Premium Value 3rd Year</t>
  </si>
  <si>
    <t>Premium Value 4th Year</t>
  </si>
  <si>
    <t>Premium Value 5th Year</t>
  </si>
  <si>
    <t>IDV Value 1st year</t>
  </si>
  <si>
    <t>IDV Value 5th year</t>
  </si>
  <si>
    <t>IDV Value 4th year</t>
  </si>
  <si>
    <t>IDV Value 3rd year</t>
  </si>
  <si>
    <t>IDV Value 2nd year</t>
  </si>
  <si>
    <t>Loan Amount</t>
  </si>
  <si>
    <t>Interest Rate</t>
  </si>
  <si>
    <t>Loan Terms (years)</t>
  </si>
  <si>
    <t>Monthly EMI</t>
  </si>
  <si>
    <t>Interest Month 1</t>
  </si>
  <si>
    <t>Interest Month 2</t>
  </si>
  <si>
    <t>Interest Month 3</t>
  </si>
  <si>
    <t>Interest Month 4</t>
  </si>
  <si>
    <t>Interest Month 5</t>
  </si>
  <si>
    <t>Interest Month 6</t>
  </si>
  <si>
    <t>Interest Month 7</t>
  </si>
  <si>
    <t>Interest Month 8</t>
  </si>
  <si>
    <t>Interest Month 9</t>
  </si>
  <si>
    <t>Interest Month 10</t>
  </si>
  <si>
    <t>Interest Month 11</t>
  </si>
  <si>
    <t>Interest Month 12</t>
  </si>
  <si>
    <t>Interest Month 13</t>
  </si>
  <si>
    <t>Interest Month 14</t>
  </si>
  <si>
    <t>Interest Month 15</t>
  </si>
  <si>
    <t>Interest Month 16</t>
  </si>
  <si>
    <t>Interest Month 17</t>
  </si>
  <si>
    <t>Interest Month 18</t>
  </si>
  <si>
    <t>Interest Month 19</t>
  </si>
  <si>
    <t>Interest Month 20</t>
  </si>
  <si>
    <t>Interest Month 21</t>
  </si>
  <si>
    <t>Interest Month 22</t>
  </si>
  <si>
    <t>Interest Month 23</t>
  </si>
  <si>
    <t>Interest Month 24</t>
  </si>
  <si>
    <t>Interest Month 25</t>
  </si>
  <si>
    <t>Interest Month 26</t>
  </si>
  <si>
    <t>Interest Month 27</t>
  </si>
  <si>
    <t>Interest Month 28</t>
  </si>
  <si>
    <t>Interest Month 29</t>
  </si>
  <si>
    <t>Interest Month 30</t>
  </si>
  <si>
    <t>Interest Month 31</t>
  </si>
  <si>
    <t>Interest Month 32</t>
  </si>
  <si>
    <t>Interest Month 33</t>
  </si>
  <si>
    <t>Interest Month 34</t>
  </si>
  <si>
    <t>Interest Month 35</t>
  </si>
  <si>
    <t>Interest Month 36</t>
  </si>
  <si>
    <t>Interest Month 37</t>
  </si>
  <si>
    <t>Interest Month 38</t>
  </si>
  <si>
    <t>Interest Month 39</t>
  </si>
  <si>
    <t>Interest Month 40</t>
  </si>
  <si>
    <t>Interest Month 41</t>
  </si>
  <si>
    <t>Interest Month 42</t>
  </si>
  <si>
    <t>Interest Month 43</t>
  </si>
  <si>
    <t>Interest Month 44</t>
  </si>
  <si>
    <t>Interest Month 45</t>
  </si>
  <si>
    <t>Interest Month 46</t>
  </si>
  <si>
    <t>Interest Month 47</t>
  </si>
  <si>
    <t>Interest Month 48</t>
  </si>
  <si>
    <t>Interest Month 49</t>
  </si>
  <si>
    <t>Interest Month 50</t>
  </si>
  <si>
    <t>Interest Month 51</t>
  </si>
  <si>
    <t>Interest Month 52</t>
  </si>
  <si>
    <t>Interest Month 53</t>
  </si>
  <si>
    <t>Interest Month 54</t>
  </si>
  <si>
    <t>Interest Month 55</t>
  </si>
  <si>
    <t>Interest Month 56</t>
  </si>
  <si>
    <t>Interest Month 57</t>
  </si>
  <si>
    <t>Interest Month 58</t>
  </si>
  <si>
    <t>Interest Month 59</t>
  </si>
  <si>
    <t>Interest Month 60</t>
  </si>
  <si>
    <t>Interest Year 1</t>
  </si>
  <si>
    <t>Interest Year 2</t>
  </si>
  <si>
    <t>Interest Year 3</t>
  </si>
  <si>
    <t>Interest Year 4</t>
  </si>
  <si>
    <t>Interest Year 5</t>
  </si>
  <si>
    <t>Total Interest Paid</t>
  </si>
  <si>
    <t>Interest Cost Per Month</t>
  </si>
  <si>
    <t>Interest Cost Per Year</t>
  </si>
  <si>
    <t>Insurace Cost Per Year</t>
  </si>
  <si>
    <t>Dieasel Rate</t>
  </si>
  <si>
    <t>Fuel cost per km at 0% return loads</t>
  </si>
  <si>
    <t>Fuel cost per km at 30% return loads</t>
  </si>
  <si>
    <t>Fuel cost per km at 40% return loads</t>
  </si>
  <si>
    <t>Fuel cost per km at 50% return loads</t>
  </si>
  <si>
    <t>Fuel cost per km at 60% return loads</t>
  </si>
  <si>
    <t>Fuel cost per km at 80% return loads</t>
  </si>
  <si>
    <t>Fuel cost per km at 100% return loads</t>
  </si>
  <si>
    <t xml:space="preserve">Diesel rate per litre </t>
  </si>
  <si>
    <t>Mileage-Full Load</t>
  </si>
  <si>
    <t>Mileage-Empty Load</t>
  </si>
  <si>
    <t>Distance travelled in a year</t>
  </si>
  <si>
    <t>Total fixed costs per Km</t>
  </si>
  <si>
    <t>No of Pairs of Tyre</t>
  </si>
  <si>
    <t>Tyre Cost per Pair</t>
  </si>
  <si>
    <t>Retreading Cost per pair</t>
  </si>
  <si>
    <t>Average life (new tyre) Km</t>
  </si>
  <si>
    <t>Average life retreaded tyre Km</t>
  </si>
  <si>
    <t>Total life of tyre pair (with retreading done once)</t>
  </si>
  <si>
    <t>Total cost of tyre pair (with retreading done once)</t>
  </si>
  <si>
    <t>Total no. of pairs required (with retreading done once)</t>
  </si>
  <si>
    <t>Total Tyre cost in a Year</t>
  </si>
  <si>
    <t>Tyre Cost per Km</t>
  </si>
  <si>
    <t>Engine Oil Qty per Change (L)</t>
  </si>
  <si>
    <t>Engine Oil Rate (Rs./L)</t>
  </si>
  <si>
    <t>Gearbox Oil Qty per Change (L)</t>
  </si>
  <si>
    <t>Axle (crown) Oil Qty per Change (L)</t>
  </si>
  <si>
    <t>Coolent Qty per Change (L)</t>
  </si>
  <si>
    <t>Gearbox Oil Rate (Rs./L)</t>
  </si>
  <si>
    <t>Axle (crown) Oil Rate (Rs./L)</t>
  </si>
  <si>
    <t>Coolent Rate (Rs./L)</t>
  </si>
  <si>
    <t>Engine Oil Change Interval (Km)</t>
  </si>
  <si>
    <t>Gearbox Oil Change Interval (Km)</t>
  </si>
  <si>
    <t>Axle (crown) Oil Change Interval (Km)</t>
  </si>
  <si>
    <t>Coolent Change Interval (Km)</t>
  </si>
  <si>
    <t>Fuel filter Rate (Rs./Filter)</t>
  </si>
  <si>
    <t>Air filter Rate (Rs./Filter)</t>
  </si>
  <si>
    <t>Air filter change interval (kms)</t>
  </si>
  <si>
    <t>Engine Oil Cost per Km</t>
  </si>
  <si>
    <t>Gearbox Oil Cost per Km</t>
  </si>
  <si>
    <t>Axle (crown) Oil Cost per Km</t>
  </si>
  <si>
    <t>Coolant Cost per Km</t>
  </si>
  <si>
    <t>Fuel filter Cost per Km</t>
  </si>
  <si>
    <t>Air filter Cost per Km</t>
  </si>
  <si>
    <t>Total Maintenance Cost per Km</t>
  </si>
  <si>
    <t>Contigency Cost per Km</t>
  </si>
  <si>
    <t>Battery Life (Kms)</t>
  </si>
  <si>
    <t>Battery Cost (Rs/Battery)</t>
  </si>
  <si>
    <t>Battery Cost per Km</t>
  </si>
  <si>
    <t>Interest Working</t>
  </si>
  <si>
    <t>Maintenance Cost Working</t>
  </si>
  <si>
    <t>Maintenance Per km</t>
  </si>
  <si>
    <t>Tyre Cost Per km</t>
  </si>
  <si>
    <t>Fuel Cost Per km</t>
  </si>
  <si>
    <t>Fixed Cost Per km</t>
  </si>
  <si>
    <t>Overhead Cost Per km</t>
  </si>
  <si>
    <t>Overhead cost (over fixed &amp; variable)</t>
  </si>
  <si>
    <t>Returns Per Km</t>
  </si>
  <si>
    <t>Other Charges Per Km</t>
  </si>
  <si>
    <t>Tarpaulin Laying charges</t>
  </si>
  <si>
    <t>Tarpaulin Laying Chanrges</t>
  </si>
  <si>
    <t>Unloading Charges</t>
  </si>
  <si>
    <t>Loading/unloading Charges</t>
  </si>
  <si>
    <t>Charges per Trip</t>
  </si>
  <si>
    <t>Charges per Km</t>
  </si>
  <si>
    <t>One way distance</t>
  </si>
  <si>
    <t>Other Charges per Km</t>
  </si>
  <si>
    <t># Trips Estimate</t>
  </si>
  <si>
    <t>Threshold distance for rest time addition (km)</t>
  </si>
  <si>
    <t>Average speed of the truck (Km/hr)</t>
  </si>
  <si>
    <t>Wait Time for Pick up for return load</t>
  </si>
  <si>
    <t>Return to Garage</t>
  </si>
  <si>
    <t>Total Rest time (calculated for every 16 hrs  working)</t>
  </si>
  <si>
    <t>Hours of rest for every 16 hrs of working</t>
  </si>
  <si>
    <t>Work hours considered</t>
  </si>
  <si>
    <t>Placement to Plant (hrs)</t>
  </si>
  <si>
    <t>Plant turnaround time (hrs)</t>
  </si>
  <si>
    <t>Time to reach destination (hrs)</t>
  </si>
  <si>
    <t>Turnaround at Client (hrs)</t>
  </si>
  <si>
    <t># uptime per truck</t>
  </si>
  <si>
    <t># of trips per month for zero return with  90% uptime</t>
  </si>
  <si>
    <t># of trips per month for zero return with  90% uptime - Corrected</t>
  </si>
  <si>
    <t># of trips per month for return with  90% uptime</t>
  </si>
  <si>
    <t># of trips per month for return with  90% uptime - corrected</t>
  </si>
  <si>
    <t>Distance - One Way</t>
  </si>
  <si>
    <t>Total Trip Duration for zero return load</t>
  </si>
  <si>
    <t>Total Trip Duration for return load</t>
  </si>
  <si>
    <t>kms travelled per year for zero return</t>
  </si>
  <si>
    <t>kms travelled per year for  return load</t>
  </si>
  <si>
    <t>Zero Based Costing Sheet</t>
  </si>
  <si>
    <t>Next</t>
  </si>
  <si>
    <t>Previous</t>
  </si>
  <si>
    <t>Source</t>
  </si>
  <si>
    <t>Destination</t>
  </si>
  <si>
    <t>Total Costs per km ( no return load)</t>
  </si>
  <si>
    <t>Total Costs per km (30% return load)</t>
  </si>
  <si>
    <t>Total Costs per km (40% return load)</t>
  </si>
  <si>
    <t>Total Costs per km (50% return load)</t>
  </si>
  <si>
    <t>Total Costs per km (60% return load)</t>
  </si>
  <si>
    <t>Total Costs per km (80% return load)</t>
  </si>
  <si>
    <t>Total Costs per km (100% return load)</t>
  </si>
  <si>
    <t>Per Km Cost</t>
  </si>
  <si>
    <t>Per Trip Cost</t>
  </si>
  <si>
    <t>Per Trip with zero return load</t>
  </si>
  <si>
    <t>Per Trip with 30% return load</t>
  </si>
  <si>
    <t>Per Trip with 40% return load</t>
  </si>
  <si>
    <t>Per Trip with 50% return load</t>
  </si>
  <si>
    <t>Per Trip with 60% return load</t>
  </si>
  <si>
    <t>Per Trip with 80% return load</t>
  </si>
  <si>
    <t>Per Trip with 100% return load</t>
  </si>
  <si>
    <t>Per Ton Rates</t>
  </si>
  <si>
    <t>Per Ton Per Km Rates</t>
  </si>
  <si>
    <t>ZBC Index File</t>
  </si>
  <si>
    <t>Return Load</t>
  </si>
  <si>
    <t>Look-up Value</t>
  </si>
  <si>
    <t>ZBC Per Ton Rate</t>
  </si>
  <si>
    <t>% Return Load</t>
  </si>
  <si>
    <t>PTPK</t>
  </si>
  <si>
    <t>PT</t>
  </si>
  <si>
    <t>Per Trip</t>
  </si>
  <si>
    <t>ZBC Per Trip Rate</t>
  </si>
  <si>
    <t>ZBC Per Ton Per Km Rate</t>
  </si>
  <si>
    <t>(Rs./Ton/Km)</t>
  </si>
  <si>
    <t>(Rs./Ton)</t>
  </si>
  <si>
    <t>(Rs./Trip)</t>
  </si>
  <si>
    <t>Main-Page</t>
  </si>
  <si>
    <t>Guidelines</t>
  </si>
  <si>
    <t>Salavage Value after 5 Years (%)</t>
  </si>
  <si>
    <t>Value</t>
  </si>
  <si>
    <t>Insurance Premium Rate</t>
  </si>
  <si>
    <t>Vehicle Loan Amount</t>
  </si>
  <si>
    <t>Details</t>
  </si>
  <si>
    <t>Profit (over fixed &amp; variable)</t>
  </si>
  <si>
    <t>One - Way Distance</t>
  </si>
  <si>
    <t>Trucks Covered</t>
  </si>
  <si>
    <t>No of Batteries</t>
  </si>
  <si>
    <t>RTO +Police unofficial +Toll</t>
  </si>
  <si>
    <t>RTO + Police Unofficial + Toll</t>
  </si>
  <si>
    <t>Distnce travelled in a month</t>
  </si>
  <si>
    <t>Toll Charges (One-Way)</t>
  </si>
  <si>
    <t>(Rs.)</t>
  </si>
  <si>
    <t>(Km)</t>
  </si>
  <si>
    <t>Net Weight</t>
  </si>
  <si>
    <t>Life of truck (years)</t>
  </si>
  <si>
    <t>Data Input Required</t>
  </si>
  <si>
    <t>ZBC Rates</t>
  </si>
  <si>
    <t>DIBRUGARH</t>
  </si>
  <si>
    <t>GUWAHATI</t>
  </si>
  <si>
    <t>SILCHER</t>
  </si>
  <si>
    <t>ARA</t>
  </si>
  <si>
    <t>ARIYA</t>
  </si>
  <si>
    <t>BEGUSARAI</t>
  </si>
  <si>
    <t>BETIYA</t>
  </si>
  <si>
    <t>BHAGALPUR</t>
  </si>
  <si>
    <t>BIHARSHARIF</t>
  </si>
  <si>
    <t>CHAPRA</t>
  </si>
  <si>
    <t>DAIRYON-SON</t>
  </si>
  <si>
    <t>DALTONGANJ</t>
  </si>
  <si>
    <t>DARBANGHA</t>
  </si>
  <si>
    <t>GAYA</t>
  </si>
  <si>
    <t>HAZIPUR</t>
  </si>
  <si>
    <t>KISHANGANJ</t>
  </si>
  <si>
    <t>MOTIHARI</t>
  </si>
  <si>
    <t>MUJJAFARPUR</t>
  </si>
  <si>
    <t>MUNGER</t>
  </si>
  <si>
    <t>PATNA</t>
  </si>
  <si>
    <t>PURNEA</t>
  </si>
  <si>
    <t>SAHARSA</t>
  </si>
  <si>
    <t>SAMASTIPUR</t>
  </si>
  <si>
    <t>SASARAM</t>
  </si>
  <si>
    <t>SIWAN</t>
  </si>
  <si>
    <t>RAIGARH</t>
  </si>
  <si>
    <t>RAIPUR</t>
  </si>
  <si>
    <t>AASHRAM BHOGAL</t>
  </si>
  <si>
    <t>AIMS DELHI</t>
  </si>
  <si>
    <t>AJMERI GATE</t>
  </si>
  <si>
    <t>ALIPUR</t>
  </si>
  <si>
    <t>AMBA CINEMA</t>
  </si>
  <si>
    <t>ANAND PARVAT</t>
  </si>
  <si>
    <t>ANAND VIHAR</t>
  </si>
  <si>
    <t>ANDHERIA MORE</t>
  </si>
  <si>
    <t>APOLLO HOSP. JASOLA</t>
  </si>
  <si>
    <t>AZAD MARKET</t>
  </si>
  <si>
    <t>AZADPUR</t>
  </si>
  <si>
    <t>BADERPUR</t>
  </si>
  <si>
    <t>BADLI</t>
  </si>
  <si>
    <t>BASANT KUNJ</t>
  </si>
  <si>
    <t>BAWANA</t>
  </si>
  <si>
    <t>BEGAM PUR</t>
  </si>
  <si>
    <t>BHAJANPURA</t>
  </si>
  <si>
    <t>BUD PUR</t>
  </si>
  <si>
    <t>BUDH VIHAR</t>
  </si>
  <si>
    <t>BURADI</t>
  </si>
  <si>
    <t>CAMPUS</t>
  </si>
  <si>
    <t>CHANDNI CHOWK</t>
  </si>
  <si>
    <t>CHATTERPUR</t>
  </si>
  <si>
    <t>CHAWLA</t>
  </si>
  <si>
    <t>CHAWRI BAZAR</t>
  </si>
  <si>
    <t>CHHATTERPUR</t>
  </si>
  <si>
    <t>CHIRAG DELHI</t>
  </si>
  <si>
    <t>CONNAUGHT PLACE</t>
  </si>
  <si>
    <t>DAYABASTI</t>
  </si>
  <si>
    <t>DEFENCE COLONY</t>
  </si>
  <si>
    <t>DELHI CANT</t>
  </si>
  <si>
    <t>DELHI GATE</t>
  </si>
  <si>
    <t>DEV NAGAR</t>
  </si>
  <si>
    <t>DHOLA KUAN</t>
  </si>
  <si>
    <t>DWARKA</t>
  </si>
  <si>
    <t>FATEHPURI</t>
  </si>
  <si>
    <t>GAZIPUR</t>
  </si>
  <si>
    <t>GHEVARA MOD (DELHI DEPOT)</t>
  </si>
  <si>
    <t>GREATER KAILASH</t>
  </si>
  <si>
    <t>GREEN PARK</t>
  </si>
  <si>
    <t>GURGAON VIA DELHI</t>
  </si>
  <si>
    <t>HAIDERPUR</t>
  </si>
  <si>
    <t>HIRAN KUDNA</t>
  </si>
  <si>
    <t>I.I.T</t>
  </si>
  <si>
    <t>I.T.O.</t>
  </si>
  <si>
    <t>INDERLOK</t>
  </si>
  <si>
    <t>INDIA GATE</t>
  </si>
  <si>
    <t>JAGATPURI</t>
  </si>
  <si>
    <t>JANAKPURI</t>
  </si>
  <si>
    <t>JHANDE WALAN</t>
  </si>
  <si>
    <t>KAD KAD DUMA</t>
  </si>
  <si>
    <t>KALKA</t>
  </si>
  <si>
    <t>KAMLA MARKET</t>
  </si>
  <si>
    <t>KANJHAWLA</t>
  </si>
  <si>
    <t>KAPASHEDA</t>
  </si>
  <si>
    <t>KARAWAL NAGAR</t>
  </si>
  <si>
    <t>KARNAL BYE PASS</t>
  </si>
  <si>
    <t>KAROL BAGH</t>
  </si>
  <si>
    <t>KHANNA MARKET</t>
  </si>
  <si>
    <t>KHANPUR</t>
  </si>
  <si>
    <t>KHARI BAWRI</t>
  </si>
  <si>
    <t>KIRTI NAGAR</t>
  </si>
  <si>
    <t>KISHAN GANJ</t>
  </si>
  <si>
    <t>KOTLA</t>
  </si>
  <si>
    <t>KUNDLI BORDER</t>
  </si>
  <si>
    <t>LAHORI GATE</t>
  </si>
  <si>
    <t>LAJPAT NAGAR</t>
  </si>
  <si>
    <t>LAKSHMI NAGAR</t>
  </si>
  <si>
    <t>LAL QUILLA</t>
  </si>
  <si>
    <t>LIBAS PUR</t>
  </si>
  <si>
    <t>LODHI GATE</t>
  </si>
  <si>
    <t>MADIPUR</t>
  </si>
  <si>
    <t>MAHARANA P. BAGH</t>
  </si>
  <si>
    <t>MAHIPAL PUR</t>
  </si>
  <si>
    <t>MALVIYA NAGAR</t>
  </si>
  <si>
    <t>MANGOL PURI</t>
  </si>
  <si>
    <t>MANSEROVER GARDEN</t>
  </si>
  <si>
    <t>MAYA PURI</t>
  </si>
  <si>
    <t>MAYUR VIHAR</t>
  </si>
  <si>
    <t>MEHROLLI</t>
  </si>
  <si>
    <t>MINTO BRIDGE</t>
  </si>
  <si>
    <t>MODEL TOWN</t>
  </si>
  <si>
    <t>MORI GATE</t>
  </si>
  <si>
    <t>MOTI NAGAR</t>
  </si>
  <si>
    <t>MOTIA KHAN</t>
  </si>
  <si>
    <t>MUDRIKA</t>
  </si>
  <si>
    <t>MUNDKA</t>
  </si>
  <si>
    <t>NAND NAGARI</t>
  </si>
  <si>
    <t>NANGLOI</t>
  </si>
  <si>
    <t>NANGLOI VIA DEPOT</t>
  </si>
  <si>
    <t>NARELA</t>
  </si>
  <si>
    <t>NARYANA</t>
  </si>
  <si>
    <t>NAYA BAZAAR</t>
  </si>
  <si>
    <t>NAZAFGARH</t>
  </si>
  <si>
    <t>NEHRU PLACE</t>
  </si>
  <si>
    <t>NEW FRIENDS COLONY</t>
  </si>
  <si>
    <t>NIZAMUDDIN</t>
  </si>
  <si>
    <t>NOVALTY</t>
  </si>
  <si>
    <t>OCHANDI BORDER</t>
  </si>
  <si>
    <t>OKHLA</t>
  </si>
  <si>
    <t>PANDAV NAGAR</t>
  </si>
  <si>
    <t>PAPANKALAN</t>
  </si>
  <si>
    <t>PASHCHIM VIHAR</t>
  </si>
  <si>
    <t>PATEL NAGAR</t>
  </si>
  <si>
    <t>PATPAD GUNJ</t>
  </si>
  <si>
    <t>PEERAGADHI</t>
  </si>
  <si>
    <t>PRITAM PURA</t>
  </si>
  <si>
    <t>PUDH PARHLAD PUR</t>
  </si>
  <si>
    <t>PUNJABI BAGH</t>
  </si>
  <si>
    <t>R.K. PURAM</t>
  </si>
  <si>
    <t xml:space="preserve">RAJA GARDEN </t>
  </si>
  <si>
    <t>RAM MANOHAR LOHIA HOSP</t>
  </si>
  <si>
    <t>RAMA ROAD</t>
  </si>
  <si>
    <t>RAMPURA</t>
  </si>
  <si>
    <t>RITHALA</t>
  </si>
  <si>
    <t>RITHALA DEPOT</t>
  </si>
  <si>
    <t>ROHINI</t>
  </si>
  <si>
    <t>SAFDERGUNJ</t>
  </si>
  <si>
    <t>SAKET</t>
  </si>
  <si>
    <t>SANJAY GANDHI</t>
  </si>
  <si>
    <t>SARAI ROHILLA</t>
  </si>
  <si>
    <t>SARITA VIHAR</t>
  </si>
  <si>
    <t>SAROJNI NAGAR</t>
  </si>
  <si>
    <t>SERITA VIHAR</t>
  </si>
  <si>
    <t>SEROJNI NAGAR</t>
  </si>
  <si>
    <t>SHADIPUR</t>
  </si>
  <si>
    <t>SHAHADERA</t>
  </si>
  <si>
    <t>SHAHBAD DAIRY</t>
  </si>
  <si>
    <t>SHAKTI NAGAR</t>
  </si>
  <si>
    <t>SHANKER ROAD</t>
  </si>
  <si>
    <t>SHILAM PUR</t>
  </si>
  <si>
    <t>SINDHU BORDER</t>
  </si>
  <si>
    <t>SIRAS PUR</t>
  </si>
  <si>
    <t>SMALKHAN</t>
  </si>
  <si>
    <t>SOUTH EXTENSION</t>
  </si>
  <si>
    <t>SUBHASH NAGAR</t>
  </si>
  <si>
    <t>SWAVROOP NAGAR</t>
  </si>
  <si>
    <t>TIKRI</t>
  </si>
  <si>
    <t>TILK NAGAR</t>
  </si>
  <si>
    <t>TIMARPUR</t>
  </si>
  <si>
    <t>TIS HAZAREE</t>
  </si>
  <si>
    <t>TRINAGAR</t>
  </si>
  <si>
    <t>TUGALKABAD</t>
  </si>
  <si>
    <t>UDYOG NAGAR</t>
  </si>
  <si>
    <t>UTTAM NAGAR</t>
  </si>
  <si>
    <t>VIKAS PURI</t>
  </si>
  <si>
    <t>WAZIRABAD</t>
  </si>
  <si>
    <t>WAZIRPUR</t>
  </si>
  <si>
    <t>ZAHANGEER PURI</t>
  </si>
  <si>
    <t>ZAKHEERA</t>
  </si>
  <si>
    <t>AHMEDABAD</t>
  </si>
  <si>
    <t>BARODA</t>
  </si>
  <si>
    <t>GHANDHI NAGAR</t>
  </si>
  <si>
    <t>JAMNAGAR</t>
  </si>
  <si>
    <t>KANDALA</t>
  </si>
  <si>
    <t>VARODADA</t>
  </si>
  <si>
    <t>ADAM PUR MANDI</t>
  </si>
  <si>
    <t>AGROHA</t>
  </si>
  <si>
    <t>AILANABAD</t>
  </si>
  <si>
    <t>AMBALA</t>
  </si>
  <si>
    <t>ASSANDH</t>
  </si>
  <si>
    <t xml:space="preserve">ATELI MANDI </t>
  </si>
  <si>
    <t>BADKALI CHWOK</t>
  </si>
  <si>
    <t>BADSHAH PUR</t>
  </si>
  <si>
    <t>BAHADURGARH LOCAL</t>
  </si>
  <si>
    <t>BALLABH GARH</t>
  </si>
  <si>
    <t>BALLABHGARH</t>
  </si>
  <si>
    <t>BAMDOLI</t>
  </si>
  <si>
    <t>BARHIMURTHAL</t>
  </si>
  <si>
    <t>BARWALA</t>
  </si>
  <si>
    <t>BAWAL</t>
  </si>
  <si>
    <t>BERI</t>
  </si>
  <si>
    <t>BHIWANI</t>
  </si>
  <si>
    <t>BILASPUR CHOWK</t>
  </si>
  <si>
    <t>BURELL</t>
  </si>
  <si>
    <t>DABODH</t>
  </si>
  <si>
    <t>DABWALI</t>
  </si>
  <si>
    <t>DADRI</t>
  </si>
  <si>
    <t>DHARUHEDA</t>
  </si>
  <si>
    <t>ELLANABAD</t>
  </si>
  <si>
    <t>FARIDABAD</t>
  </si>
  <si>
    <t>FARRKHNAGAR</t>
  </si>
  <si>
    <t>FATEHABAD</t>
  </si>
  <si>
    <t>GANDHARA</t>
  </si>
  <si>
    <t>GANNAUR</t>
  </si>
  <si>
    <t>GOHANA</t>
  </si>
  <si>
    <t>GREATER NOIDA</t>
  </si>
  <si>
    <t>GUHANA</t>
  </si>
  <si>
    <t>GULHA / CHIKA</t>
  </si>
  <si>
    <t>GURGAON</t>
  </si>
  <si>
    <t>HANSI</t>
  </si>
  <si>
    <t>HATHEEN</t>
  </si>
  <si>
    <t>HELI MANDI</t>
  </si>
  <si>
    <t>HISSAR</t>
  </si>
  <si>
    <t>HODAL</t>
  </si>
  <si>
    <t>INDRI LADWA</t>
  </si>
  <si>
    <t>ISHER HEDI</t>
  </si>
  <si>
    <t>JHAJJAR</t>
  </si>
  <si>
    <t>JIND</t>
  </si>
  <si>
    <t>JULANA</t>
  </si>
  <si>
    <t>KAITHAL</t>
  </si>
  <si>
    <t>KANINA</t>
  </si>
  <si>
    <t>KANONDHA KULASI</t>
  </si>
  <si>
    <t>KARNAL</t>
  </si>
  <si>
    <t>KHARKHODA</t>
  </si>
  <si>
    <t>KOSI BORDER</t>
  </si>
  <si>
    <t>KOSLI</t>
  </si>
  <si>
    <t>KURUKSHETRA</t>
  </si>
  <si>
    <t>LADRAWAN</t>
  </si>
  <si>
    <t>LAKHAN MAJRA</t>
  </si>
  <si>
    <t>LUHARU</t>
  </si>
  <si>
    <t>MACHROLI</t>
  </si>
  <si>
    <t>MAHAM</t>
  </si>
  <si>
    <t>MAHENDER GARH</t>
  </si>
  <si>
    <t>MANESER</t>
  </si>
  <si>
    <t>MATLODHA</t>
  </si>
  <si>
    <t>MUNDHAL</t>
  </si>
  <si>
    <t>MURTHAL</t>
  </si>
  <si>
    <t>NARNAUL</t>
  </si>
  <si>
    <t>NARWANA</t>
  </si>
  <si>
    <t>NARYAN GARH</t>
  </si>
  <si>
    <t>NORANG PUR</t>
  </si>
  <si>
    <t>NUHU</t>
  </si>
  <si>
    <t>PALWAL</t>
  </si>
  <si>
    <t>PANCHKULA</t>
  </si>
  <si>
    <t>PANHANA</t>
  </si>
  <si>
    <t>PANIPAT</t>
  </si>
  <si>
    <t>PATOWDI</t>
  </si>
  <si>
    <t>PEEPLI</t>
  </si>
  <si>
    <t>PEHWA</t>
  </si>
  <si>
    <t>PILANI</t>
  </si>
  <si>
    <t>PUNDREE</t>
  </si>
  <si>
    <t>REWARI</t>
  </si>
  <si>
    <t>ROHTAK</t>
  </si>
  <si>
    <t>SAFIDO</t>
  </si>
  <si>
    <t>SAHALAWAS</t>
  </si>
  <si>
    <t>SAMALKHAN</t>
  </si>
  <si>
    <t>SAMPLA</t>
  </si>
  <si>
    <t>SATNALI</t>
  </si>
  <si>
    <t>SHAHABAD</t>
  </si>
  <si>
    <t>SIRSA</t>
  </si>
  <si>
    <t>SOHANA</t>
  </si>
  <si>
    <t>SOHTI</t>
  </si>
  <si>
    <t>SONIPAT</t>
  </si>
  <si>
    <t>SURAJKUND</t>
  </si>
  <si>
    <t>TAUDU</t>
  </si>
  <si>
    <t>TOHANA</t>
  </si>
  <si>
    <t>TOSHAM</t>
  </si>
  <si>
    <t>UKLANA</t>
  </si>
  <si>
    <t>YAMUNANAGAR</t>
  </si>
  <si>
    <t>ZULANA</t>
  </si>
  <si>
    <t>BADDHI</t>
  </si>
  <si>
    <t>BAIJ NATH</t>
  </si>
  <si>
    <t>DEHRA</t>
  </si>
  <si>
    <t>HAMIRPUR</t>
  </si>
  <si>
    <t>JASSAUR</t>
  </si>
  <si>
    <t>MANDI</t>
  </si>
  <si>
    <t>PADIALA</t>
  </si>
  <si>
    <t>SHIMLA</t>
  </si>
  <si>
    <t>SOLAN</t>
  </si>
  <si>
    <t>ANANTNAG</t>
  </si>
  <si>
    <t>BARAMULA</t>
  </si>
  <si>
    <t>JAMMU</t>
  </si>
  <si>
    <t>KATWA</t>
  </si>
  <si>
    <t>PAMPORE</t>
  </si>
  <si>
    <t>PHULWAMA</t>
  </si>
  <si>
    <t>SRINAGAR</t>
  </si>
  <si>
    <t>UDAMPUR</t>
  </si>
  <si>
    <t>CHAS</t>
  </si>
  <si>
    <t>DEO GHAR</t>
  </si>
  <si>
    <t>DHANBAD</t>
  </si>
  <si>
    <t>JAMSHEDPUR</t>
  </si>
  <si>
    <t>RANCHI</t>
  </si>
  <si>
    <t>UDUPI</t>
  </si>
  <si>
    <t>BANGALORE</t>
  </si>
  <si>
    <t>BEENA</t>
  </si>
  <si>
    <t>BHOPAL</t>
  </si>
  <si>
    <t>CHINDWARA</t>
  </si>
  <si>
    <t>CHITRAKOOT</t>
  </si>
  <si>
    <t>GWALIOR</t>
  </si>
  <si>
    <t>INDORE</t>
  </si>
  <si>
    <t>JABALPUR</t>
  </si>
  <si>
    <t>KHUJRAHO</t>
  </si>
  <si>
    <t>REWA</t>
  </si>
  <si>
    <t>SAGAR</t>
  </si>
  <si>
    <t>SANGROLI</t>
  </si>
  <si>
    <t>SATNA</t>
  </si>
  <si>
    <t>AURANGABAD</t>
  </si>
  <si>
    <t>BHIWANDI</t>
  </si>
  <si>
    <t>GOA</t>
  </si>
  <si>
    <t>KOLHAPUR</t>
  </si>
  <si>
    <t>MUMBAI</t>
  </si>
  <si>
    <t>NAGPUR</t>
  </si>
  <si>
    <t xml:space="preserve">NASIK </t>
  </si>
  <si>
    <t>PUNE</t>
  </si>
  <si>
    <t>ULAHS NAGAR</t>
  </si>
  <si>
    <t>BEHRAMPUR</t>
  </si>
  <si>
    <t>BHUBNESHWAR</t>
  </si>
  <si>
    <t>JAJPUR</t>
  </si>
  <si>
    <t>ABOHAR</t>
  </si>
  <si>
    <t>AHMEDGARH</t>
  </si>
  <si>
    <t>AMRITSER</t>
  </si>
  <si>
    <t>BANUR</t>
  </si>
  <si>
    <t>BARNALA</t>
  </si>
  <si>
    <t>BATALA</t>
  </si>
  <si>
    <t>BHATINDA</t>
  </si>
  <si>
    <t>DHURI</t>
  </si>
  <si>
    <t>FAJILKA</t>
  </si>
  <si>
    <t>FARIDKOT</t>
  </si>
  <si>
    <t>FEROZPUR</t>
  </si>
  <si>
    <t>GURDAS PUR</t>
  </si>
  <si>
    <t>HOSHIYARPUR</t>
  </si>
  <si>
    <t>JALLANDHAR</t>
  </si>
  <si>
    <t>KAPOOR THALA</t>
  </si>
  <si>
    <t>KHANNA</t>
  </si>
  <si>
    <t>KHANOURI</t>
  </si>
  <si>
    <t>KHARAR</t>
  </si>
  <si>
    <t>LUDHIANA</t>
  </si>
  <si>
    <t>MALER KOTLA</t>
  </si>
  <si>
    <t>MALHOT</t>
  </si>
  <si>
    <t>MANSA</t>
  </si>
  <si>
    <t>MOGHA</t>
  </si>
  <si>
    <t>MOHALI</t>
  </si>
  <si>
    <t>MUKTESHWAR</t>
  </si>
  <si>
    <t>MULANPUR</t>
  </si>
  <si>
    <t>NAWA SHAHAR</t>
  </si>
  <si>
    <t>PATDA</t>
  </si>
  <si>
    <t>PATHANKOT</t>
  </si>
  <si>
    <t>PATIYALA</t>
  </si>
  <si>
    <t>PHAGWARA</t>
  </si>
  <si>
    <t>RAJPURA</t>
  </si>
  <si>
    <t>RAMPUR PHOOL</t>
  </si>
  <si>
    <t>ROPAD MERINDA</t>
  </si>
  <si>
    <t>SANGRUR</t>
  </si>
  <si>
    <t>SIMANA</t>
  </si>
  <si>
    <t>TALVANDI</t>
  </si>
  <si>
    <t>THARA</t>
  </si>
  <si>
    <t>ZIRAKPUR</t>
  </si>
  <si>
    <t>AJMER</t>
  </si>
  <si>
    <t>ALWAR</t>
  </si>
  <si>
    <t>BADMER</t>
  </si>
  <si>
    <t>BANDI KUE</t>
  </si>
  <si>
    <t>BEHROD</t>
  </si>
  <si>
    <t>BHILWARA</t>
  </si>
  <si>
    <t>BHIWADI</t>
  </si>
  <si>
    <t>BIKANER</t>
  </si>
  <si>
    <t>BYAVER</t>
  </si>
  <si>
    <t>CHHITOR GARH</t>
  </si>
  <si>
    <t>CHIRAWA</t>
  </si>
  <si>
    <t>HANUMAN GARH</t>
  </si>
  <si>
    <t>JAIPUR</t>
  </si>
  <si>
    <t>JAISALMER</t>
  </si>
  <si>
    <t>JHUNJHUNU</t>
  </si>
  <si>
    <t>JODHPUR</t>
  </si>
  <si>
    <t>KHETDI</t>
  </si>
  <si>
    <t>KISHAN GARH</t>
  </si>
  <si>
    <t xml:space="preserve">KOTA </t>
  </si>
  <si>
    <t>KOTA BUNDI</t>
  </si>
  <si>
    <t>KOTPUTLI</t>
  </si>
  <si>
    <t>PUSHKAR</t>
  </si>
  <si>
    <t>RAJ GARH</t>
  </si>
  <si>
    <t>SALASAR</t>
  </si>
  <si>
    <t>SHAHPUR</t>
  </si>
  <si>
    <t>SIKKAR</t>
  </si>
  <si>
    <t>SRI GANGANAGAR</t>
  </si>
  <si>
    <t>SRI SAHALASAR BALA JI</t>
  </si>
  <si>
    <t>SUJAN GARH</t>
  </si>
  <si>
    <t>SURAT GARH</t>
  </si>
  <si>
    <t>UDAIPUR</t>
  </si>
  <si>
    <t>CHENNAI</t>
  </si>
  <si>
    <t>BIBINAGAR</t>
  </si>
  <si>
    <t>HYDERABAD</t>
  </si>
  <si>
    <t>ISHNAPUR</t>
  </si>
  <si>
    <t>KOCHI</t>
  </si>
  <si>
    <t>KOJIKURE</t>
  </si>
  <si>
    <t>AGARTALA</t>
  </si>
  <si>
    <t>CHANDIGARH</t>
  </si>
  <si>
    <t>AGRA</t>
  </si>
  <si>
    <t>AJAMGARH</t>
  </si>
  <si>
    <t>ALIGARH</t>
  </si>
  <si>
    <t>ALLAHABAD</t>
  </si>
  <si>
    <t>AMETHI</t>
  </si>
  <si>
    <t>BAGPAT</t>
  </si>
  <si>
    <t>BAREILLY</t>
  </si>
  <si>
    <t>BHARICH</t>
  </si>
  <si>
    <t>BHINGA</t>
  </si>
  <si>
    <t>BULAND SHAHER</t>
  </si>
  <si>
    <t>CHHAPROLA</t>
  </si>
  <si>
    <t>DORALA</t>
  </si>
  <si>
    <t>GAJROLA</t>
  </si>
  <si>
    <t>GARH GANGA</t>
  </si>
  <si>
    <t>GHAZIABAD</t>
  </si>
  <si>
    <t>GONDA</t>
  </si>
  <si>
    <t>GORAKHPUR</t>
  </si>
  <si>
    <t>HAPUR</t>
  </si>
  <si>
    <t>HARDOI</t>
  </si>
  <si>
    <t>JAISH</t>
  </si>
  <si>
    <t>JHANSI</t>
  </si>
  <si>
    <t>KANPUR</t>
  </si>
  <si>
    <t>KHATOLI</t>
  </si>
  <si>
    <t>KHEKDA BIJNORE</t>
  </si>
  <si>
    <t>NA</t>
  </si>
  <si>
    <t>KHURJA</t>
  </si>
  <si>
    <t>KUNDA</t>
  </si>
  <si>
    <t>LALITPUR</t>
  </si>
  <si>
    <t>LUCKNOW</t>
  </si>
  <si>
    <t>MATHURA</t>
  </si>
  <si>
    <t>MAU SHADAPUR</t>
  </si>
  <si>
    <t>MEERUT</t>
  </si>
  <si>
    <t>MURADABAD</t>
  </si>
  <si>
    <t>MURADNAGAR</t>
  </si>
  <si>
    <t>MUZZAFERNAGAR</t>
  </si>
  <si>
    <t>NANPARA</t>
  </si>
  <si>
    <t>NOIDA</t>
  </si>
  <si>
    <t>PILI BHIT</t>
  </si>
  <si>
    <t>PILKHUVA</t>
  </si>
  <si>
    <t>RAI BAREILLY</t>
  </si>
  <si>
    <t>VARANASI-RAMNAGHAR</t>
  </si>
  <si>
    <t>SAHARANPUR</t>
  </si>
  <si>
    <t>SAHIBABAD</t>
  </si>
  <si>
    <t>VARANASI-SHADPUR</t>
  </si>
  <si>
    <t>SHAMLI</t>
  </si>
  <si>
    <t>SIKANDERA BAD</t>
  </si>
  <si>
    <t>SIKOHABAD</t>
  </si>
  <si>
    <t>SULTANPUR</t>
  </si>
  <si>
    <t>U.P. BORDER</t>
  </si>
  <si>
    <t>VARANASI</t>
  </si>
  <si>
    <t>ALMORA</t>
  </si>
  <si>
    <t>BAJPUR</t>
  </si>
  <si>
    <t>DEHRADUN</t>
  </si>
  <si>
    <t>GARHWAL</t>
  </si>
  <si>
    <t>HALDWANI</t>
  </si>
  <si>
    <t>HARIDWAR</t>
  </si>
  <si>
    <t>KASHIPUR</t>
  </si>
  <si>
    <t>KICHHA</t>
  </si>
  <si>
    <t>KOT DWAR</t>
  </si>
  <si>
    <t>MANSURI</t>
  </si>
  <si>
    <t>PITHORAGARH</t>
  </si>
  <si>
    <t>RISHIKESH</t>
  </si>
  <si>
    <t>RUDERPUR</t>
  </si>
  <si>
    <t>ROORKEE</t>
  </si>
  <si>
    <t>SITARGUNJ</t>
  </si>
  <si>
    <t>ASANSOL</t>
  </si>
  <si>
    <t>BANKURA</t>
  </si>
  <si>
    <t>BEENAGUDI</t>
  </si>
  <si>
    <t>BEHRAM PUR</t>
  </si>
  <si>
    <t>BHOLPUR</t>
  </si>
  <si>
    <t>BURDWAN</t>
  </si>
  <si>
    <t>DIGA BAJPUR EAST MINDNAPUR</t>
  </si>
  <si>
    <t>DURGAPUR</t>
  </si>
  <si>
    <t>GANGARAMPUR</t>
  </si>
  <si>
    <t>JAIGOAN</t>
  </si>
  <si>
    <t>JALPAIGURI</t>
  </si>
  <si>
    <t>JHARGRAM</t>
  </si>
  <si>
    <t>KATHUA</t>
  </si>
  <si>
    <t>KOLKATA</t>
  </si>
  <si>
    <t>MALDA</t>
  </si>
  <si>
    <t>MIDNA PUR</t>
  </si>
  <si>
    <t>RANI GANJ</t>
  </si>
  <si>
    <t>SILIGURI</t>
  </si>
  <si>
    <t>BAHADURGARH</t>
  </si>
  <si>
    <t>Tempo</t>
  </si>
  <si>
    <t>Canter</t>
  </si>
  <si>
    <t>Container</t>
  </si>
  <si>
    <t>Turbo</t>
  </si>
  <si>
    <t>Tata</t>
  </si>
  <si>
    <t>Truck</t>
  </si>
  <si>
    <t>Tonnage</t>
  </si>
  <si>
    <t>Length</t>
  </si>
  <si>
    <t>Canter 4T</t>
  </si>
  <si>
    <t>Container 14T</t>
  </si>
  <si>
    <t>Turbo 15T</t>
  </si>
  <si>
    <t>Tata 0.7T</t>
  </si>
  <si>
    <t>Canter 6.5T</t>
  </si>
  <si>
    <t>Canter 8.5T</t>
  </si>
  <si>
    <t>Truck 9T</t>
  </si>
  <si>
    <t>Tempo 2T 3W</t>
  </si>
  <si>
    <t>Tempo 2T 4W</t>
  </si>
  <si>
    <t>Loadability</t>
  </si>
  <si>
    <t>?</t>
  </si>
  <si>
    <t>Tarpaulin (original)</t>
  </si>
  <si>
    <t>% Onward Load</t>
  </si>
  <si>
    <t>=(2-$C80)*D69/Input_Data!C$45</t>
  </si>
  <si>
    <t>=(1+$C102)*D91*Input_Data!C$45</t>
  </si>
  <si>
    <t>Project Unnati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</si>
</sst>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.00\ _$_-;\-* #,##0.00\ _$_-;_-* &quot;-&quot;??\ _$_-;_-@_-"/>
    <numFmt numFmtId="166" formatCode="0.0%"/>
    <numFmt numFmtId="167" formatCode="0.0"/>
  </numFmts>
  <fonts count="17">
    <font>
      <sz val="11"/>
      <color theme="1"/>
      <name val="Verdana"/>
      <family val="2"/>
      <scheme val="minor"/>
    </font>
    <font>
      <sz val="11"/>
      <name val="Zurich BT"/>
    </font>
    <font>
      <sz val="10"/>
      <name val="Arial"/>
      <family val="2"/>
    </font>
    <font>
      <sz val="11"/>
      <color theme="1"/>
      <name val="Verdana"/>
      <family val="2"/>
      <scheme val="minor"/>
    </font>
    <font>
      <u/>
      <sz val="11"/>
      <color theme="10"/>
      <name val="Verdana"/>
      <family val="2"/>
      <scheme val="minor"/>
    </font>
    <font>
      <sz val="10"/>
      <color theme="1"/>
      <name val="Georgia"/>
      <family val="1"/>
    </font>
    <font>
      <u/>
      <sz val="10"/>
      <color theme="10"/>
      <name val="Georgia"/>
      <family val="1"/>
    </font>
    <font>
      <sz val="24"/>
      <color theme="1"/>
      <name val="Georgia"/>
      <family val="1"/>
    </font>
    <font>
      <b/>
      <sz val="11"/>
      <color theme="1"/>
      <name val="Verdana"/>
      <family val="2"/>
      <scheme val="minor"/>
    </font>
    <font>
      <b/>
      <sz val="12"/>
      <color theme="0"/>
      <name val="Verdana"/>
      <family val="2"/>
      <scheme val="minor"/>
    </font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  <font>
      <b/>
      <sz val="10"/>
      <color rgb="FFC00000"/>
      <name val="Verdana"/>
      <family val="2"/>
      <scheme val="minor"/>
    </font>
    <font>
      <sz val="24"/>
      <color theme="1"/>
      <name val="Verdana"/>
      <family val="2"/>
      <scheme val="minor"/>
    </font>
    <font>
      <b/>
      <sz val="12"/>
      <color theme="0"/>
      <name val="Verdana"/>
      <family val="2"/>
      <scheme val="major"/>
    </font>
    <font>
      <sz val="10"/>
      <color theme="1"/>
      <name val="Verdana"/>
      <family val="2"/>
      <scheme val="major"/>
    </font>
    <font>
      <b/>
      <sz val="10"/>
      <color theme="1"/>
      <name val="Verdana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9" fontId="1" fillId="0" borderId="0" applyFill="0" applyAlignment="0" applyProtection="0"/>
  </cellStyleXfs>
  <cellXfs count="66">
    <xf numFmtId="0" fontId="0" fillId="0" borderId="0" xfId="0"/>
    <xf numFmtId="0" fontId="5" fillId="0" borderId="0" xfId="0" applyFont="1"/>
    <xf numFmtId="0" fontId="6" fillId="0" borderId="0" xfId="3" applyFont="1"/>
    <xf numFmtId="0" fontId="6" fillId="0" borderId="0" xfId="3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9" fontId="5" fillId="0" borderId="0" xfId="0" applyNumberFormat="1" applyFont="1"/>
    <xf numFmtId="0" fontId="5" fillId="0" borderId="0" xfId="0" quotePrefix="1" applyFont="1"/>
    <xf numFmtId="0" fontId="10" fillId="0" borderId="0" xfId="0" applyFont="1"/>
    <xf numFmtId="0" fontId="11" fillId="0" borderId="0" xfId="0" applyFont="1"/>
    <xf numFmtId="0" fontId="10" fillId="0" borderId="2" xfId="0" applyFont="1" applyBorder="1" applyAlignment="1">
      <alignment horizontal="center"/>
    </xf>
    <xf numFmtId="9" fontId="10" fillId="0" borderId="0" xfId="0" applyNumberFormat="1" applyFont="1"/>
    <xf numFmtId="0" fontId="10" fillId="0" borderId="4" xfId="0" applyFont="1" applyBorder="1"/>
    <xf numFmtId="0" fontId="10" fillId="0" borderId="3" xfId="0" applyFont="1" applyBorder="1"/>
    <xf numFmtId="0" fontId="10" fillId="0" borderId="2" xfId="0" applyFont="1" applyBorder="1"/>
    <xf numFmtId="0" fontId="12" fillId="0" borderId="0" xfId="0" applyFont="1"/>
    <xf numFmtId="0" fontId="10" fillId="3" borderId="8" xfId="0" applyFont="1" applyFill="1" applyBorder="1"/>
    <xf numFmtId="0" fontId="10" fillId="2" borderId="8" xfId="0" applyFont="1" applyFill="1" applyBorder="1"/>
    <xf numFmtId="0" fontId="11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right"/>
    </xf>
    <xf numFmtId="0" fontId="10" fillId="0" borderId="1" xfId="0" applyFont="1" applyBorder="1"/>
    <xf numFmtId="0" fontId="10" fillId="5" borderId="1" xfId="0" applyFont="1" applyFill="1" applyBorder="1"/>
    <xf numFmtId="0" fontId="15" fillId="0" borderId="0" xfId="0" applyFont="1"/>
    <xf numFmtId="0" fontId="16" fillId="2" borderId="1" xfId="0" applyFont="1" applyFill="1" applyBorder="1" applyAlignment="1">
      <alignment horizontal="center"/>
    </xf>
    <xf numFmtId="0" fontId="15" fillId="0" borderId="1" xfId="0" applyFont="1" applyBorder="1"/>
    <xf numFmtId="9" fontId="15" fillId="0" borderId="1" xfId="0" applyNumberFormat="1" applyFont="1" applyBorder="1"/>
    <xf numFmtId="0" fontId="15" fillId="0" borderId="1" xfId="0" applyFont="1" applyBorder="1" applyAlignment="1">
      <alignment horizontal="left"/>
    </xf>
    <xf numFmtId="9" fontId="15" fillId="0" borderId="1" xfId="0" applyNumberFormat="1" applyFont="1" applyBorder="1" applyAlignment="1">
      <alignment horizontal="right"/>
    </xf>
    <xf numFmtId="0" fontId="11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center"/>
    </xf>
    <xf numFmtId="9" fontId="10" fillId="0" borderId="1" xfId="0" applyNumberFormat="1" applyFont="1" applyBorder="1"/>
    <xf numFmtId="0" fontId="10" fillId="0" borderId="9" xfId="0" applyFont="1" applyBorder="1"/>
    <xf numFmtId="0" fontId="10" fillId="0" borderId="10" xfId="0" applyFont="1" applyBorder="1"/>
    <xf numFmtId="166" fontId="10" fillId="0" borderId="1" xfId="0" applyNumberFormat="1" applyFont="1" applyBorder="1"/>
    <xf numFmtId="0" fontId="10" fillId="0" borderId="1" xfId="0" applyFont="1" applyBorder="1" applyAlignment="1">
      <alignment horizontal="left"/>
    </xf>
    <xf numFmtId="9" fontId="10" fillId="0" borderId="1" xfId="0" applyNumberFormat="1" applyFont="1" applyBorder="1" applyAlignment="1">
      <alignment horizontal="right"/>
    </xf>
    <xf numFmtId="0" fontId="16" fillId="2" borderId="1" xfId="0" applyFont="1" applyFill="1" applyBorder="1" applyAlignment="1">
      <alignment horizontal="right"/>
    </xf>
    <xf numFmtId="10" fontId="15" fillId="0" borderId="1" xfId="0" applyNumberFormat="1" applyFont="1" applyBorder="1"/>
    <xf numFmtId="1" fontId="15" fillId="0" borderId="1" xfId="0" applyNumberFormat="1" applyFont="1" applyBorder="1"/>
    <xf numFmtId="167" fontId="15" fillId="0" borderId="1" xfId="0" applyNumberFormat="1" applyFont="1" applyBorder="1" applyAlignment="1">
      <alignment horizontal="right"/>
    </xf>
    <xf numFmtId="0" fontId="15" fillId="0" borderId="1" xfId="0" applyFont="1" applyBorder="1" applyAlignment="1">
      <alignment horizontal="right"/>
    </xf>
    <xf numFmtId="2" fontId="15" fillId="0" borderId="1" xfId="0" applyNumberFormat="1" applyFont="1" applyBorder="1" applyAlignment="1">
      <alignment horizontal="right"/>
    </xf>
    <xf numFmtId="1" fontId="15" fillId="0" borderId="1" xfId="0" applyNumberFormat="1" applyFont="1" applyBorder="1" applyAlignment="1">
      <alignment horizontal="right"/>
    </xf>
    <xf numFmtId="2" fontId="15" fillId="0" borderId="1" xfId="0" applyNumberFormat="1" applyFont="1" applyBorder="1"/>
    <xf numFmtId="9" fontId="15" fillId="0" borderId="1" xfId="5" applyFont="1" applyBorder="1"/>
    <xf numFmtId="0" fontId="15" fillId="0" borderId="1" xfId="5" applyNumberFormat="1" applyFont="1" applyBorder="1"/>
    <xf numFmtId="0" fontId="0" fillId="0" borderId="1" xfId="0" applyBorder="1" applyAlignment="1">
      <alignment horizontal="right"/>
    </xf>
    <xf numFmtId="9" fontId="0" fillId="0" borderId="1" xfId="0" applyNumberFormat="1" applyBorder="1" applyAlignment="1">
      <alignment horizontal="right"/>
    </xf>
    <xf numFmtId="9" fontId="0" fillId="0" borderId="1" xfId="0" applyNumberFormat="1" applyBorder="1"/>
    <xf numFmtId="0" fontId="10" fillId="3" borderId="5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9" fontId="10" fillId="3" borderId="5" xfId="5" applyFont="1" applyFill="1" applyBorder="1" applyAlignment="1">
      <alignment horizontal="center"/>
    </xf>
    <xf numFmtId="9" fontId="10" fillId="3" borderId="2" xfId="5" applyFont="1" applyFill="1" applyBorder="1" applyAlignment="1">
      <alignment horizontal="center"/>
    </xf>
    <xf numFmtId="9" fontId="10" fillId="3" borderId="6" xfId="5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9" fillId="4" borderId="0" xfId="0" applyFont="1" applyFill="1" applyAlignment="1">
      <alignment horizontal="center"/>
    </xf>
    <xf numFmtId="2" fontId="11" fillId="2" borderId="5" xfId="0" applyNumberFormat="1" applyFont="1" applyFill="1" applyBorder="1" applyAlignment="1">
      <alignment horizontal="center"/>
    </xf>
    <xf numFmtId="2" fontId="11" fillId="2" borderId="2" xfId="0" applyNumberFormat="1" applyFont="1" applyFill="1" applyBorder="1" applyAlignment="1">
      <alignment horizontal="center"/>
    </xf>
    <xf numFmtId="2" fontId="11" fillId="2" borderId="6" xfId="0" applyNumberFormat="1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4" fillId="4" borderId="7" xfId="0" applyFont="1" applyFill="1" applyBorder="1" applyAlignment="1">
      <alignment horizontal="center"/>
    </xf>
    <xf numFmtId="0" fontId="7" fillId="0" borderId="0" xfId="0" applyFont="1" applyAlignment="1">
      <alignment horizontal="center"/>
    </xf>
  </cellXfs>
  <cellStyles count="7">
    <cellStyle name="Comma 2" xfId="1" xr:uid="{00000000-0005-0000-0000-000000000000}"/>
    <cellStyle name="Comma 2 2" xfId="2" xr:uid="{00000000-0005-0000-0000-000001000000}"/>
    <cellStyle name="Hyperlink" xfId="3" builtinId="8"/>
    <cellStyle name="Normal" xfId="0" builtinId="0"/>
    <cellStyle name="Normal 2" xfId="4" xr:uid="{00000000-0005-0000-0000-000004000000}"/>
    <cellStyle name="Percent" xfId="5" builtinId="5"/>
    <cellStyle name="Percent 2" xfId="6" xr:uid="{00000000-0005-0000-0000-000006000000}"/>
  </cellStyles>
  <dxfs count="11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1504950</xdr:colOff>
      <xdr:row>5</xdr:row>
      <xdr:rowOff>76200</xdr:rowOff>
    </xdr:from>
    <xdr:to>
      <xdr:col>1</xdr:col>
      <xdr:colOff>2047875</xdr:colOff>
      <xdr:row>5</xdr:row>
      <xdr:rowOff>76200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2114550" y="1133475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eme2016">
  <a:themeElements>
    <a:clrScheme name="Deloitte colors">
      <a:dk1>
        <a:sysClr val="windowText" lastClr="000000"/>
      </a:dk1>
      <a:lt1>
        <a:sysClr val="window" lastClr="FFFFFF"/>
      </a:lt1>
      <a:dk2>
        <a:srgbClr val="53565A"/>
      </a:dk2>
      <a:lt2>
        <a:srgbClr val="D0D0CE"/>
      </a:lt2>
      <a:accent1>
        <a:srgbClr val="86BC25"/>
      </a:accent1>
      <a:accent2>
        <a:srgbClr val="046A38"/>
      </a:accent2>
      <a:accent3>
        <a:srgbClr val="62B5E5"/>
      </a:accent3>
      <a:accent4>
        <a:srgbClr val="012169"/>
      </a:accent4>
      <a:accent5>
        <a:srgbClr val="0097A9"/>
      </a:accent5>
      <a:accent6>
        <a:srgbClr val="75787B"/>
      </a:accent6>
      <a:hlink>
        <a:srgbClr val="00A3E0"/>
      </a:hlink>
      <a:folHlink>
        <a:srgbClr val="53565A"/>
      </a:folHlink>
    </a:clrScheme>
    <a:fontScheme name="Deloitte Powerpoint font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gray">
        <a:solidFill>
          <a:schemeClr val="accent3"/>
        </a:solidFill>
        <a:ln w="19050" algn="ctr">
          <a:noFill/>
          <a:miter lim="800000"/>
          <a:headEnd/>
          <a:tailEnd/>
        </a:ln>
      </a:spPr>
      <a:bodyPr wrap="square" lIns="88900" tIns="88900" rIns="88900" bIns="88900" rtlCol="0" anchor="ctr"/>
      <a:lstStyle>
        <a:defPPr>
          <a:lnSpc>
            <a:spcPct val="106000"/>
          </a:lnSpc>
          <a:buFont typeface="Wingdings 2" pitchFamily="18" charset="2"/>
          <a:buNone/>
          <a:defRPr sz="1600" b="1" dirty="0" smtClean="0">
            <a:solidFill>
              <a:schemeClr val="bg1"/>
            </a:solidFill>
          </a:defRPr>
        </a:defPPr>
      </a:lstStyle>
    </a:spDef>
    <a:lnDef>
      <a:spPr>
        <a:ln>
          <a:solidFill>
            <a:schemeClr val="tx2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spAutoFit/>
      </a:bodyPr>
      <a:lstStyle>
        <a:defPPr marL="203200" indent="-203200">
          <a:spcBef>
            <a:spcPts val="600"/>
          </a:spcBef>
          <a:buSzPct val="100000"/>
          <a:buFont typeface="Arial"/>
          <a:buChar char="�"/>
          <a:defRPr dirty="0" smtClean="0">
            <a:solidFill>
              <a:srgbClr val="313131"/>
            </a:solidFill>
          </a:defRPr>
        </a:defPPr>
      </a:lstStyle>
    </a:txDef>
  </a:objectDefaults>
  <a:extraClrSchemeLst/>
  <a:custClrLst>
    <a:custClr name="Green 7">
      <a:srgbClr val="2C5234"/>
    </a:custClr>
    <a:custClr name="Green 6">
      <a:srgbClr val="046A38"/>
    </a:custClr>
    <a:custClr name="Green 5">
      <a:srgbClr val="009A44"/>
    </a:custClr>
    <a:custClr name="Green 4">
      <a:srgbClr val="43B02A"/>
    </a:custClr>
    <a:custClr name="Deloitte Green">
      <a:srgbClr val="86BC25"/>
    </a:custClr>
    <a:custClr name="Green 2">
      <a:srgbClr val="C4D600"/>
    </a:custClr>
    <a:custClr name="Green 1">
      <a:srgbClr val="E3E48D"/>
    </a:custClr>
    <a:custClr name="Teal 7">
      <a:srgbClr val="004F59"/>
    </a:custClr>
    <a:custClr name="Teal 6">
      <a:srgbClr val="007680"/>
    </a:custClr>
    <a:custClr name="Teal 5">
      <a:srgbClr val="0097A9"/>
    </a:custClr>
    <a:custClr name="Teal 4">
      <a:srgbClr val="00ABAB"/>
    </a:custClr>
    <a:custClr name="Teal 3">
      <a:srgbClr val="6FC2B4"/>
    </a:custClr>
    <a:custClr name="Teal 2">
      <a:srgbClr val="9DD4CF"/>
    </a:custClr>
    <a:custClr name="Teal 1">
      <a:srgbClr val="DDEFE8"/>
    </a:custClr>
    <a:custClr name="Blue 7">
      <a:srgbClr val="041E42"/>
    </a:custClr>
    <a:custClr name="Blue 6">
      <a:srgbClr val="012169"/>
    </a:custClr>
    <a:custClr name="Blue 5">
      <a:srgbClr val="005587"/>
    </a:custClr>
    <a:custClr name="Blue 4">
      <a:srgbClr val="0076A8"/>
    </a:custClr>
    <a:custClr name="Blue 3">
      <a:srgbClr val="00A3E0"/>
    </a:custClr>
    <a:custClr name="Blue 2">
      <a:srgbClr val="62B5E5"/>
    </a:custClr>
    <a:custClr name="Blue 1">
      <a:srgbClr val="A0DCFF"/>
    </a:custClr>
    <a:custClr name="Cool Gray 11">
      <a:srgbClr val="53565A"/>
    </a:custClr>
    <a:custClr name="Cool Gray 10">
      <a:srgbClr val="63666A"/>
    </a:custClr>
    <a:custClr name="Cool Gray 9">
      <a:srgbClr val="75787B"/>
    </a:custClr>
    <a:custClr name="Cool Gray 7">
      <a:srgbClr val="97999B"/>
    </a:custClr>
    <a:custClr name="Cool Gray 6">
      <a:srgbClr val="A7A8AA"/>
    </a:custClr>
    <a:custClr name="Cool Gray 4">
      <a:srgbClr val="BBBCBC"/>
    </a:custClr>
    <a:custClr name="Cool Gray 2">
      <a:srgbClr val="D0D0CE"/>
    </a:custClr>
    <a:custClr name="White">
      <a:srgbClr val="FFFFFF"/>
    </a:custClr>
    <a:custClr name="Black">
      <a:srgbClr val="000000"/>
    </a:custClr>
    <a:custClr name="Red">
      <a:srgbClr val="DA291C"/>
    </a:custClr>
    <a:custClr name="Orange">
      <a:srgbClr val="ED8B00"/>
    </a:custClr>
    <a:custClr name="Yellow">
      <a:srgbClr val="FFCD00"/>
    </a:custClr>
  </a:custClrLst>
  <a:extLst>
    <a:ext uri="{05A4C25C-085E-4340-85A3-A5531E510DB2}">
      <thm15:themeFamily xmlns:thm15="http://schemas.microsoft.com/office/thememl/2012/main" name="Theme2016" id="{F321AD2D-E80E-4FA5-AEAA-D4F72FD829D1}" vid="{D72BE3B0-539F-4160-ADAE-4C329A6EA0F9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showGridLines="0" tabSelected="1" topLeftCell="A8" zoomScale="80" zoomScaleNormal="80" workbookViewId="0">
      <selection activeCell="D38" sqref="D38"/>
    </sheetView>
  </sheetViews>
  <sheetFormatPr defaultColWidth="8.80859375" defaultRowHeight="12.7"/>
  <cols>
    <col min="1" max="1" width="1.09375" style="1" customWidth="1"/>
    <col min="2" max="2" width="32.6171875" style="1" customWidth="1"/>
    <col min="3" max="7" width="10.7109375" style="1" customWidth="1"/>
    <col min="8" max="16384" width="8.80859375" style="1"/>
  </cols>
  <sheetData>
    <row r="1" spans="1:9">
      <c r="G1" s="2" t="s">
        <v>221</v>
      </c>
    </row>
    <row r="2" spans="1:9" ht="29">
      <c r="A2" s="58" t="s">
        <v>788</v>
      </c>
      <c r="B2" s="58"/>
      <c r="C2" s="58"/>
      <c r="D2" s="58"/>
      <c r="E2" s="58"/>
      <c r="F2" s="58"/>
      <c r="G2" s="58"/>
    </row>
    <row r="4" spans="1:9" ht="15.35">
      <c r="B4" s="59" t="s">
        <v>220</v>
      </c>
      <c r="C4" s="59"/>
      <c r="D4" s="59"/>
      <c r="E4" s="59"/>
      <c r="F4" s="59"/>
      <c r="G4" s="59"/>
    </row>
    <row r="5" spans="1:9" ht="13" thickBot="1">
      <c r="B5" s="10"/>
      <c r="C5" s="10"/>
      <c r="D5" s="10"/>
      <c r="E5" s="10"/>
      <c r="F5" s="10"/>
      <c r="G5" s="10"/>
    </row>
    <row r="6" spans="1:9" ht="13" thickBot="1">
      <c r="B6" s="11" t="s">
        <v>223</v>
      </c>
      <c r="C6" s="51"/>
      <c r="D6" s="52"/>
      <c r="E6" s="53"/>
      <c r="F6" s="10"/>
      <c r="G6" s="10"/>
    </row>
    <row r="7" spans="1:9" ht="13" thickBot="1">
      <c r="B7" s="10"/>
      <c r="C7" s="54"/>
      <c r="D7" s="54"/>
      <c r="E7" s="54"/>
      <c r="F7" s="10"/>
      <c r="G7" s="10"/>
    </row>
    <row r="8" spans="1:9" ht="13" thickBot="1">
      <c r="B8" s="11" t="s">
        <v>224</v>
      </c>
      <c r="C8" s="51"/>
      <c r="D8" s="52"/>
      <c r="E8" s="53"/>
      <c r="F8" s="10"/>
      <c r="G8" s="10"/>
    </row>
    <row r="9" spans="1:9" ht="13" thickBot="1">
      <c r="B9" s="10"/>
      <c r="C9" s="54"/>
      <c r="D9" s="54"/>
      <c r="E9" s="54"/>
      <c r="F9" s="10"/>
      <c r="G9" s="10"/>
    </row>
    <row r="10" spans="1:9" ht="13" thickBot="1">
      <c r="B10" s="11" t="s">
        <v>264</v>
      </c>
      <c r="C10" s="51">
        <v>2224</v>
      </c>
      <c r="D10" s="52"/>
      <c r="E10" s="53"/>
      <c r="F10" s="10" t="s">
        <v>272</v>
      </c>
      <c r="G10" s="10"/>
    </row>
    <row r="11" spans="1:9" ht="13" thickBot="1">
      <c r="B11" s="10"/>
      <c r="C11" s="54"/>
      <c r="D11" s="54"/>
      <c r="E11" s="54"/>
      <c r="F11" s="10"/>
      <c r="G11" s="10"/>
    </row>
    <row r="12" spans="1:9" ht="13" thickBot="1">
      <c r="B12" s="11" t="s">
        <v>10</v>
      </c>
      <c r="C12" s="51" t="s">
        <v>777</v>
      </c>
      <c r="D12" s="52"/>
      <c r="E12" s="53"/>
      <c r="F12" s="10"/>
      <c r="G12" s="13"/>
      <c r="H12" s="8"/>
      <c r="I12" s="8"/>
    </row>
    <row r="13" spans="1:9" ht="13" thickBot="1">
      <c r="B13" s="10"/>
      <c r="C13" s="54"/>
      <c r="D13" s="54"/>
      <c r="E13" s="54"/>
      <c r="F13" s="10"/>
      <c r="G13" s="10"/>
    </row>
    <row r="14" spans="1:9" ht="13" thickBot="1">
      <c r="B14" s="11" t="s">
        <v>785</v>
      </c>
      <c r="C14" s="55">
        <v>0.8</v>
      </c>
      <c r="D14" s="56"/>
      <c r="E14" s="57"/>
      <c r="F14" s="10"/>
      <c r="G14" s="10"/>
    </row>
    <row r="15" spans="1:9" ht="13" thickBot="1">
      <c r="B15" s="10"/>
      <c r="C15" s="12"/>
      <c r="D15" s="12"/>
      <c r="E15" s="12"/>
      <c r="F15" s="10"/>
      <c r="G15" s="10"/>
    </row>
    <row r="16" spans="1:9" ht="13" thickBot="1">
      <c r="B16" s="11" t="s">
        <v>247</v>
      </c>
      <c r="C16" s="55">
        <v>1</v>
      </c>
      <c r="D16" s="56"/>
      <c r="E16" s="57"/>
      <c r="F16" s="10"/>
      <c r="G16" s="10"/>
    </row>
    <row r="17" spans="2:7" ht="13" thickBot="1">
      <c r="B17" s="10"/>
      <c r="C17" s="54"/>
      <c r="D17" s="54"/>
      <c r="E17" s="54"/>
      <c r="F17" s="10"/>
      <c r="G17" s="10"/>
    </row>
    <row r="18" spans="2:7" ht="13" thickBot="1">
      <c r="B18" s="11" t="s">
        <v>270</v>
      </c>
      <c r="C18" s="51">
        <v>0</v>
      </c>
      <c r="D18" s="52"/>
      <c r="E18" s="53"/>
      <c r="F18" s="14" t="s">
        <v>271</v>
      </c>
      <c r="G18" s="10"/>
    </row>
    <row r="19" spans="2:7" ht="13" thickBot="1">
      <c r="B19" s="15"/>
      <c r="C19" s="16"/>
      <c r="D19" s="16"/>
      <c r="E19" s="16"/>
      <c r="F19" s="15"/>
      <c r="G19" s="15"/>
    </row>
    <row r="20" spans="2:7" ht="13" thickBot="1">
      <c r="B20" s="10"/>
      <c r="C20" s="54"/>
      <c r="D20" s="54"/>
      <c r="E20" s="54"/>
      <c r="F20" s="10"/>
      <c r="G20" s="10"/>
    </row>
    <row r="21" spans="2:7" ht="13" thickBot="1">
      <c r="B21" s="17" t="s">
        <v>252</v>
      </c>
      <c r="C21" s="60">
        <f>VLOOKUP(CONCATENATE($C$12,$C$16),'Search Index'!$D$6:$G$68,2,FALSE)</f>
        <v>2.2417143551307199</v>
      </c>
      <c r="D21" s="61"/>
      <c r="E21" s="62"/>
      <c r="F21" s="10" t="s">
        <v>253</v>
      </c>
      <c r="G21" s="10"/>
    </row>
    <row r="22" spans="2:7" ht="13" thickBot="1">
      <c r="B22" s="10"/>
      <c r="C22" s="54"/>
      <c r="D22" s="54"/>
      <c r="E22" s="54"/>
      <c r="F22" s="10"/>
      <c r="G22" s="10"/>
    </row>
    <row r="23" spans="2:7" ht="13" thickBot="1">
      <c r="B23" s="17" t="s">
        <v>246</v>
      </c>
      <c r="C23" s="60">
        <f>VLOOKUP(CONCATENATE($C$12,$C$16),'Search Index'!$D$6:$G$68,3,FALSE)</f>
        <v>4985.5727258107208</v>
      </c>
      <c r="D23" s="61"/>
      <c r="E23" s="62"/>
      <c r="F23" s="10" t="s">
        <v>254</v>
      </c>
      <c r="G23" s="10"/>
    </row>
    <row r="24" spans="2:7" ht="13" thickBot="1">
      <c r="B24" s="10"/>
      <c r="C24" s="54"/>
      <c r="D24" s="54"/>
      <c r="E24" s="54"/>
      <c r="F24" s="10"/>
      <c r="G24" s="10"/>
    </row>
    <row r="25" spans="2:7" ht="13" thickBot="1">
      <c r="B25" s="17" t="s">
        <v>251</v>
      </c>
      <c r="C25" s="60">
        <f>VLOOKUP(CONCATENATE($C$12,$C$16),'Search Index'!$D$6:$G$68,4,FALSE)</f>
        <v>37142.516807289874</v>
      </c>
      <c r="D25" s="61"/>
      <c r="E25" s="62"/>
      <c r="F25" s="10" t="s">
        <v>255</v>
      </c>
      <c r="G25" s="10"/>
    </row>
    <row r="26" spans="2:7" ht="13" thickBot="1">
      <c r="B26" s="15"/>
      <c r="C26" s="16"/>
      <c r="D26" s="16"/>
      <c r="E26" s="16"/>
      <c r="F26" s="15"/>
      <c r="G26" s="15"/>
    </row>
    <row r="27" spans="2:7" ht="13" thickBot="1">
      <c r="B27" s="10"/>
      <c r="C27" s="10"/>
      <c r="D27" s="10"/>
      <c r="E27" s="10"/>
      <c r="F27" s="10"/>
      <c r="G27" s="10"/>
    </row>
    <row r="28" spans="2:7" ht="13" thickBot="1">
      <c r="B28" s="10"/>
      <c r="C28" s="18"/>
      <c r="D28" s="10" t="s">
        <v>275</v>
      </c>
      <c r="E28" s="10"/>
      <c r="F28" s="10"/>
      <c r="G28" s="10"/>
    </row>
    <row r="29" spans="2:7" ht="13" thickBot="1">
      <c r="B29" s="10"/>
      <c r="C29" s="10"/>
      <c r="D29" s="10"/>
      <c r="E29" s="10"/>
      <c r="F29" s="10"/>
      <c r="G29" s="10"/>
    </row>
    <row r="30" spans="2:7" ht="13" thickBot="1">
      <c r="B30" s="10"/>
      <c r="C30" s="19"/>
      <c r="D30" s="10" t="s">
        <v>276</v>
      </c>
      <c r="E30" s="10"/>
      <c r="F30" s="10"/>
      <c r="G30" s="10"/>
    </row>
  </sheetData>
  <mergeCells count="20">
    <mergeCell ref="C24:E24"/>
    <mergeCell ref="C21:E21"/>
    <mergeCell ref="C23:E23"/>
    <mergeCell ref="C25:E25"/>
    <mergeCell ref="C16:E16"/>
    <mergeCell ref="C17:E17"/>
    <mergeCell ref="C22:E22"/>
    <mergeCell ref="A2:G2"/>
    <mergeCell ref="B4:G4"/>
    <mergeCell ref="C6:E6"/>
    <mergeCell ref="C8:E8"/>
    <mergeCell ref="C10:E10"/>
    <mergeCell ref="C12:E12"/>
    <mergeCell ref="C18:E18"/>
    <mergeCell ref="C20:E20"/>
    <mergeCell ref="C7:E7"/>
    <mergeCell ref="C9:E9"/>
    <mergeCell ref="C11:E11"/>
    <mergeCell ref="C13:E13"/>
    <mergeCell ref="C14:E14"/>
  </mergeCells>
  <hyperlinks>
    <hyperlink ref="G1" location="Input_Data!A1" display="Next" xr:uid="{00000000-0004-0000-0000-000000000000}"/>
  </hyperlink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00000000-0002-0000-0000-000000000000}">
          <x14:formula1>
            <xm:f>'Master Sheet'!$C$116:$C$122</xm:f>
          </x14:formula1>
          <xm:sqref>C16:E16 C14:E14</xm:sqref>
        </x14:dataValidation>
        <x14:dataValidation type="list" showInputMessage="1" showErrorMessage="1" xr:uid="{00000000-0002-0000-0000-000001000000}">
          <x14:formula1>
            <xm:f>Guidelines!$E$8:$E$18</xm:f>
          </x14:formula1>
          <xm:sqref>C12:E12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"/>
  <sheetViews>
    <sheetView showGridLines="0" topLeftCell="A24" zoomScale="80" zoomScaleNormal="80" workbookViewId="0">
      <selection activeCell="B9" sqref="B9:B46"/>
    </sheetView>
  </sheetViews>
  <sheetFormatPr defaultColWidth="8.80859375" defaultRowHeight="12.7"/>
  <cols>
    <col min="1" max="1" width="1.09375" style="1" customWidth="1"/>
    <col min="2" max="2" width="32.6171875" style="1" customWidth="1"/>
    <col min="3" max="11" width="10.7109375" style="1" customWidth="1"/>
    <col min="12" max="16384" width="8.80859375" style="1"/>
  </cols>
  <sheetData>
    <row r="1" spans="1:12">
      <c r="B1" s="2" t="s">
        <v>222</v>
      </c>
      <c r="E1" s="3" t="s">
        <v>256</v>
      </c>
    </row>
    <row r="2" spans="1:12" ht="29">
      <c r="A2" s="58" t="s">
        <v>788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3" spans="1:1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2" ht="15.35">
      <c r="A4" s="10"/>
      <c r="B4" s="59" t="s">
        <v>11</v>
      </c>
      <c r="C4" s="59"/>
      <c r="D4" s="59"/>
      <c r="E4" s="59"/>
      <c r="F4" s="59"/>
      <c r="G4" s="59"/>
      <c r="H4" s="59"/>
      <c r="I4" s="59"/>
      <c r="J4" s="59"/>
      <c r="K4" s="59"/>
    </row>
    <row r="5" spans="1:1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2">
      <c r="A6" s="10"/>
      <c r="B6" s="10"/>
      <c r="C6" s="20" t="s">
        <v>780</v>
      </c>
      <c r="D6" s="20" t="s">
        <v>781</v>
      </c>
      <c r="E6" s="20" t="s">
        <v>773</v>
      </c>
      <c r="F6" s="20" t="s">
        <v>777</v>
      </c>
      <c r="G6" s="20" t="s">
        <v>778</v>
      </c>
      <c r="H6" s="20" t="s">
        <v>779</v>
      </c>
      <c r="I6" s="20" t="s">
        <v>774</v>
      </c>
      <c r="J6" s="20" t="s">
        <v>775</v>
      </c>
      <c r="K6" s="20" t="s">
        <v>776</v>
      </c>
    </row>
    <row r="7" spans="1:12" ht="13.7">
      <c r="A7" s="10"/>
      <c r="B7" s="21" t="s">
        <v>10</v>
      </c>
      <c r="C7" s="7" t="s">
        <v>765</v>
      </c>
      <c r="D7" s="7" t="s">
        <v>765</v>
      </c>
      <c r="E7" s="7" t="s">
        <v>766</v>
      </c>
      <c r="F7" s="7" t="s">
        <v>766</v>
      </c>
      <c r="G7" s="7" t="s">
        <v>766</v>
      </c>
      <c r="H7" s="7" t="s">
        <v>770</v>
      </c>
      <c r="I7" s="7" t="s">
        <v>767</v>
      </c>
      <c r="J7" s="7" t="s">
        <v>768</v>
      </c>
      <c r="K7" s="7" t="s">
        <v>769</v>
      </c>
    </row>
    <row r="8" spans="1:12" ht="13.7">
      <c r="A8" s="10"/>
      <c r="B8" s="21" t="s">
        <v>771</v>
      </c>
      <c r="C8" s="7">
        <v>2</v>
      </c>
      <c r="D8" s="7">
        <v>2</v>
      </c>
      <c r="E8" s="7">
        <v>4</v>
      </c>
      <c r="F8" s="7">
        <v>6.5</v>
      </c>
      <c r="G8" s="7">
        <v>8.5</v>
      </c>
      <c r="H8" s="7">
        <v>9</v>
      </c>
      <c r="I8" s="7">
        <v>14</v>
      </c>
      <c r="J8" s="7">
        <v>15</v>
      </c>
      <c r="K8" s="7">
        <v>0.7</v>
      </c>
    </row>
    <row r="9" spans="1:12">
      <c r="A9" s="10"/>
      <c r="B9" s="22" t="s">
        <v>12</v>
      </c>
      <c r="C9" s="22">
        <v>669410</v>
      </c>
      <c r="D9" s="22">
        <v>669410</v>
      </c>
      <c r="E9" s="22">
        <v>957463</v>
      </c>
      <c r="F9" s="22">
        <v>1017000</v>
      </c>
      <c r="G9" s="22">
        <v>1215730</v>
      </c>
      <c r="H9" s="22">
        <v>1455000</v>
      </c>
      <c r="I9" s="22">
        <v>1965000</v>
      </c>
      <c r="J9" s="22">
        <v>1685000</v>
      </c>
      <c r="K9" s="22"/>
    </row>
    <row r="10" spans="1:12">
      <c r="A10" s="10"/>
      <c r="B10" s="22" t="s">
        <v>13</v>
      </c>
      <c r="C10" s="22">
        <v>65000</v>
      </c>
      <c r="D10" s="22">
        <v>65000</v>
      </c>
      <c r="E10" s="22">
        <v>65000</v>
      </c>
      <c r="F10" s="22">
        <v>68000</v>
      </c>
      <c r="G10" s="22">
        <v>71000</v>
      </c>
      <c r="H10" s="22">
        <v>110000</v>
      </c>
      <c r="I10" s="22">
        <v>135000</v>
      </c>
      <c r="J10" s="22">
        <v>115000</v>
      </c>
      <c r="K10" s="22"/>
      <c r="L10" s="1" t="s">
        <v>783</v>
      </c>
    </row>
    <row r="11" spans="1:12">
      <c r="A11" s="10"/>
      <c r="B11" s="22" t="s">
        <v>14</v>
      </c>
      <c r="C11" s="22">
        <v>38000</v>
      </c>
      <c r="D11" s="22">
        <v>38000</v>
      </c>
      <c r="E11" s="22">
        <v>38000</v>
      </c>
      <c r="F11" s="22">
        <v>40000</v>
      </c>
      <c r="G11" s="22">
        <v>45000</v>
      </c>
      <c r="H11" s="22">
        <v>45000</v>
      </c>
      <c r="I11" s="22">
        <v>300000</v>
      </c>
      <c r="J11" s="22">
        <v>150000</v>
      </c>
      <c r="K11" s="22"/>
      <c r="L11" s="1" t="s">
        <v>783</v>
      </c>
    </row>
    <row r="12" spans="1:12">
      <c r="A12" s="10"/>
      <c r="B12" s="22" t="s">
        <v>274</v>
      </c>
      <c r="C12" s="22">
        <v>10</v>
      </c>
      <c r="D12" s="22">
        <v>10</v>
      </c>
      <c r="E12" s="22">
        <v>10</v>
      </c>
      <c r="F12" s="22">
        <v>10</v>
      </c>
      <c r="G12" s="22">
        <v>10</v>
      </c>
      <c r="H12" s="22">
        <v>10</v>
      </c>
      <c r="I12" s="22">
        <v>10</v>
      </c>
      <c r="J12" s="22">
        <v>10</v>
      </c>
      <c r="K12" s="22"/>
    </row>
    <row r="13" spans="1:12">
      <c r="A13" s="10"/>
      <c r="B13" s="22" t="s">
        <v>15</v>
      </c>
      <c r="C13" s="22">
        <v>11500</v>
      </c>
      <c r="D13" s="22">
        <v>11500</v>
      </c>
      <c r="E13" s="22">
        <v>13000</v>
      </c>
      <c r="F13" s="22">
        <v>14500</v>
      </c>
      <c r="G13" s="22">
        <v>14500</v>
      </c>
      <c r="H13" s="22">
        <v>14500</v>
      </c>
      <c r="I13" s="22">
        <v>17000</v>
      </c>
      <c r="J13" s="22">
        <v>17000</v>
      </c>
      <c r="K13" s="22"/>
    </row>
    <row r="14" spans="1:12">
      <c r="A14" s="10"/>
      <c r="B14" s="22" t="s">
        <v>16</v>
      </c>
      <c r="C14" s="22">
        <v>0</v>
      </c>
      <c r="D14" s="22">
        <v>0</v>
      </c>
      <c r="E14" s="22">
        <v>9000</v>
      </c>
      <c r="F14" s="22">
        <v>8500</v>
      </c>
      <c r="G14" s="22">
        <v>8500</v>
      </c>
      <c r="H14" s="22">
        <v>8500</v>
      </c>
      <c r="I14" s="22">
        <v>10000</v>
      </c>
      <c r="J14" s="22">
        <v>10000</v>
      </c>
      <c r="K14" s="22"/>
    </row>
    <row r="15" spans="1:12">
      <c r="A15" s="10"/>
      <c r="B15" s="22" t="s">
        <v>4</v>
      </c>
      <c r="C15" s="22">
        <v>22000</v>
      </c>
      <c r="D15" s="22">
        <v>22000</v>
      </c>
      <c r="E15" s="22">
        <v>22000</v>
      </c>
      <c r="F15" s="22">
        <v>22000</v>
      </c>
      <c r="G15" s="22">
        <v>22000</v>
      </c>
      <c r="H15" s="22">
        <v>25000</v>
      </c>
      <c r="I15" s="22">
        <v>27000</v>
      </c>
      <c r="J15" s="22">
        <v>26000</v>
      </c>
      <c r="K15" s="22"/>
    </row>
    <row r="16" spans="1:12">
      <c r="A16" s="10"/>
      <c r="B16" s="22" t="s">
        <v>17</v>
      </c>
      <c r="C16" s="22">
        <v>12</v>
      </c>
      <c r="D16" s="22">
        <v>12</v>
      </c>
      <c r="E16" s="22">
        <v>10</v>
      </c>
      <c r="F16" s="22">
        <v>9</v>
      </c>
      <c r="G16" s="22">
        <v>8</v>
      </c>
      <c r="H16" s="22">
        <v>5</v>
      </c>
      <c r="I16" s="22">
        <v>3.5</v>
      </c>
      <c r="J16" s="22">
        <v>4</v>
      </c>
      <c r="K16" s="22"/>
    </row>
    <row r="17" spans="1:12">
      <c r="A17" s="10"/>
      <c r="B17" s="22" t="s">
        <v>18</v>
      </c>
      <c r="C17" s="22">
        <v>11</v>
      </c>
      <c r="D17" s="22">
        <v>11</v>
      </c>
      <c r="E17" s="22">
        <v>11</v>
      </c>
      <c r="F17" s="22">
        <v>10</v>
      </c>
      <c r="G17" s="22">
        <v>10</v>
      </c>
      <c r="H17" s="22">
        <v>6</v>
      </c>
      <c r="I17" s="22">
        <v>4</v>
      </c>
      <c r="J17" s="22">
        <v>5</v>
      </c>
      <c r="K17" s="22"/>
    </row>
    <row r="18" spans="1:12">
      <c r="A18" s="10"/>
      <c r="B18" s="22" t="s">
        <v>19</v>
      </c>
      <c r="C18" s="23">
        <v>2</v>
      </c>
      <c r="D18" s="23">
        <v>2</v>
      </c>
      <c r="E18" s="23">
        <v>2</v>
      </c>
      <c r="F18" s="23">
        <v>2</v>
      </c>
      <c r="G18" s="23">
        <v>3</v>
      </c>
      <c r="H18" s="23">
        <v>3</v>
      </c>
      <c r="I18" s="23">
        <v>5</v>
      </c>
      <c r="J18" s="23">
        <v>6</v>
      </c>
      <c r="K18" s="23"/>
    </row>
    <row r="19" spans="1:12">
      <c r="A19" s="10"/>
      <c r="B19" s="22" t="s">
        <v>20</v>
      </c>
      <c r="C19" s="22">
        <v>50000</v>
      </c>
      <c r="D19" s="22">
        <v>50000</v>
      </c>
      <c r="E19" s="22">
        <v>50000</v>
      </c>
      <c r="F19" s="22">
        <v>45000</v>
      </c>
      <c r="G19" s="22">
        <v>45000</v>
      </c>
      <c r="H19" s="22">
        <v>38000</v>
      </c>
      <c r="I19" s="22">
        <v>40000</v>
      </c>
      <c r="J19" s="22">
        <v>40000</v>
      </c>
      <c r="K19" s="22"/>
      <c r="L19" s="1" t="s">
        <v>783</v>
      </c>
    </row>
    <row r="20" spans="1:12">
      <c r="A20" s="10"/>
      <c r="B20" s="22" t="s">
        <v>21</v>
      </c>
      <c r="C20" s="22">
        <v>30000</v>
      </c>
      <c r="D20" s="22">
        <v>30000</v>
      </c>
      <c r="E20" s="22">
        <v>30000</v>
      </c>
      <c r="F20" s="22">
        <v>25000</v>
      </c>
      <c r="G20" s="22">
        <v>25000</v>
      </c>
      <c r="H20" s="22">
        <v>18000</v>
      </c>
      <c r="I20" s="22">
        <v>20000</v>
      </c>
      <c r="J20" s="22">
        <v>20000</v>
      </c>
      <c r="K20" s="22"/>
      <c r="L20" s="1" t="s">
        <v>783</v>
      </c>
    </row>
    <row r="21" spans="1:12">
      <c r="A21" s="10"/>
      <c r="B21" s="22" t="s">
        <v>22</v>
      </c>
      <c r="C21" s="22">
        <v>40000</v>
      </c>
      <c r="D21" s="22">
        <v>40000</v>
      </c>
      <c r="E21" s="22">
        <v>40000</v>
      </c>
      <c r="F21" s="22">
        <v>35000</v>
      </c>
      <c r="G21" s="22">
        <v>35000</v>
      </c>
      <c r="H21" s="22">
        <v>35000</v>
      </c>
      <c r="I21" s="22">
        <v>35000</v>
      </c>
      <c r="J21" s="22">
        <v>35000</v>
      </c>
      <c r="K21" s="22"/>
      <c r="L21" s="1" t="s">
        <v>783</v>
      </c>
    </row>
    <row r="22" spans="1:12">
      <c r="A22" s="10"/>
      <c r="B22" s="22" t="s">
        <v>23</v>
      </c>
      <c r="C22" s="22">
        <v>80000</v>
      </c>
      <c r="D22" s="22">
        <v>80000</v>
      </c>
      <c r="E22" s="22">
        <v>80000</v>
      </c>
      <c r="F22" s="22">
        <v>75000</v>
      </c>
      <c r="G22" s="22">
        <v>75000</v>
      </c>
      <c r="H22" s="22">
        <v>75000</v>
      </c>
      <c r="I22" s="22">
        <v>75000</v>
      </c>
      <c r="J22" s="22">
        <v>75000</v>
      </c>
      <c r="K22" s="22"/>
    </row>
    <row r="23" spans="1:12">
      <c r="A23" s="10"/>
      <c r="B23" s="22" t="s">
        <v>24</v>
      </c>
      <c r="C23" s="22">
        <v>80000</v>
      </c>
      <c r="D23" s="22">
        <v>80000</v>
      </c>
      <c r="E23" s="22">
        <v>80000</v>
      </c>
      <c r="F23" s="22">
        <v>75000</v>
      </c>
      <c r="G23" s="22">
        <v>75000</v>
      </c>
      <c r="H23" s="22">
        <v>75000</v>
      </c>
      <c r="I23" s="22">
        <v>75000</v>
      </c>
      <c r="J23" s="22">
        <v>75000</v>
      </c>
      <c r="K23" s="22"/>
    </row>
    <row r="24" spans="1:12">
      <c r="A24" s="10"/>
      <c r="B24" s="22" t="s">
        <v>25</v>
      </c>
      <c r="C24" s="23">
        <v>160000</v>
      </c>
      <c r="D24" s="23">
        <v>160000</v>
      </c>
      <c r="E24" s="23">
        <v>160000</v>
      </c>
      <c r="F24" s="23">
        <v>150000</v>
      </c>
      <c r="G24" s="23">
        <v>150000</v>
      </c>
      <c r="H24" s="23">
        <v>150000</v>
      </c>
      <c r="I24" s="23">
        <v>150000</v>
      </c>
      <c r="J24" s="23">
        <v>150000</v>
      </c>
      <c r="K24" s="22"/>
    </row>
    <row r="25" spans="1:12">
      <c r="A25" s="10"/>
      <c r="B25" s="22" t="s">
        <v>26</v>
      </c>
      <c r="C25" s="22">
        <v>11</v>
      </c>
      <c r="D25" s="22">
        <v>11</v>
      </c>
      <c r="E25" s="22">
        <v>11</v>
      </c>
      <c r="F25" s="22">
        <v>11</v>
      </c>
      <c r="G25" s="22">
        <v>11</v>
      </c>
      <c r="H25" s="22">
        <v>11</v>
      </c>
      <c r="I25" s="22">
        <v>15</v>
      </c>
      <c r="J25" s="22">
        <v>15</v>
      </c>
      <c r="K25" s="22"/>
    </row>
    <row r="26" spans="1:12">
      <c r="A26" s="10"/>
      <c r="B26" s="22" t="s">
        <v>27</v>
      </c>
      <c r="C26" s="22">
        <v>3.6</v>
      </c>
      <c r="D26" s="22">
        <v>3.6</v>
      </c>
      <c r="E26" s="22">
        <v>3.6</v>
      </c>
      <c r="F26" s="22">
        <v>5</v>
      </c>
      <c r="G26" s="22">
        <v>5</v>
      </c>
      <c r="H26" s="22">
        <v>5</v>
      </c>
      <c r="I26" s="22">
        <v>7</v>
      </c>
      <c r="J26" s="22">
        <v>7</v>
      </c>
      <c r="K26" s="22"/>
    </row>
    <row r="27" spans="1:12">
      <c r="A27" s="10"/>
      <c r="B27" s="22" t="s">
        <v>28</v>
      </c>
      <c r="C27" s="22">
        <v>4.5</v>
      </c>
      <c r="D27" s="22">
        <v>4.5</v>
      </c>
      <c r="E27" s="22">
        <v>4.5</v>
      </c>
      <c r="F27" s="22">
        <v>4.5</v>
      </c>
      <c r="G27" s="22">
        <v>4.5</v>
      </c>
      <c r="H27" s="22">
        <v>4.5</v>
      </c>
      <c r="I27" s="22">
        <v>12</v>
      </c>
      <c r="J27" s="22">
        <v>12</v>
      </c>
      <c r="K27" s="22"/>
    </row>
    <row r="28" spans="1:12">
      <c r="A28" s="10"/>
      <c r="B28" s="22" t="s">
        <v>29</v>
      </c>
      <c r="C28" s="23">
        <v>2</v>
      </c>
      <c r="D28" s="23">
        <v>2</v>
      </c>
      <c r="E28" s="23">
        <v>5</v>
      </c>
      <c r="F28" s="23">
        <v>5</v>
      </c>
      <c r="G28" s="23">
        <v>5</v>
      </c>
      <c r="H28" s="23">
        <v>5</v>
      </c>
      <c r="I28" s="23">
        <v>5</v>
      </c>
      <c r="J28" s="23">
        <v>5</v>
      </c>
      <c r="K28" s="22"/>
    </row>
    <row r="29" spans="1:12">
      <c r="A29" s="10"/>
      <c r="B29" s="22" t="s">
        <v>35</v>
      </c>
      <c r="C29" s="22">
        <v>285</v>
      </c>
      <c r="D29" s="22">
        <v>285</v>
      </c>
      <c r="E29" s="22">
        <v>285</v>
      </c>
      <c r="F29" s="22">
        <v>285</v>
      </c>
      <c r="G29" s="22">
        <v>285</v>
      </c>
      <c r="H29" s="22">
        <v>285</v>
      </c>
      <c r="I29" s="22">
        <v>285</v>
      </c>
      <c r="J29" s="22">
        <v>285</v>
      </c>
      <c r="K29" s="22"/>
    </row>
    <row r="30" spans="1:12">
      <c r="A30" s="10"/>
      <c r="B30" s="22" t="s">
        <v>36</v>
      </c>
      <c r="C30" s="22">
        <v>295</v>
      </c>
      <c r="D30" s="22">
        <v>295</v>
      </c>
      <c r="E30" s="22">
        <v>295</v>
      </c>
      <c r="F30" s="22">
        <v>295</v>
      </c>
      <c r="G30" s="22">
        <v>295</v>
      </c>
      <c r="H30" s="22">
        <v>295</v>
      </c>
      <c r="I30" s="22">
        <v>295</v>
      </c>
      <c r="J30" s="22">
        <v>295</v>
      </c>
      <c r="K30" s="22"/>
    </row>
    <row r="31" spans="1:12">
      <c r="A31" s="10"/>
      <c r="B31" s="22" t="s">
        <v>37</v>
      </c>
      <c r="C31" s="22">
        <v>285</v>
      </c>
      <c r="D31" s="22">
        <v>285</v>
      </c>
      <c r="E31" s="22">
        <v>285</v>
      </c>
      <c r="F31" s="22">
        <v>285</v>
      </c>
      <c r="G31" s="22">
        <v>285</v>
      </c>
      <c r="H31" s="22">
        <v>285</v>
      </c>
      <c r="I31" s="22">
        <v>285</v>
      </c>
      <c r="J31" s="22">
        <v>285</v>
      </c>
      <c r="K31" s="22"/>
    </row>
    <row r="32" spans="1:12">
      <c r="A32" s="10"/>
      <c r="B32" s="22" t="s">
        <v>38</v>
      </c>
      <c r="C32" s="22">
        <v>400</v>
      </c>
      <c r="D32" s="22">
        <v>400</v>
      </c>
      <c r="E32" s="22">
        <v>400</v>
      </c>
      <c r="F32" s="22">
        <v>400</v>
      </c>
      <c r="G32" s="22">
        <v>400</v>
      </c>
      <c r="H32" s="22">
        <v>400</v>
      </c>
      <c r="I32" s="22">
        <v>400</v>
      </c>
      <c r="J32" s="22">
        <v>400</v>
      </c>
      <c r="K32" s="22"/>
    </row>
    <row r="33" spans="1:12">
      <c r="A33" s="10"/>
      <c r="B33" s="22" t="s">
        <v>30</v>
      </c>
      <c r="C33" s="22">
        <v>40000</v>
      </c>
      <c r="D33" s="22">
        <v>40000</v>
      </c>
      <c r="E33" s="22">
        <v>40000</v>
      </c>
      <c r="F33" s="22">
        <v>35000</v>
      </c>
      <c r="G33" s="22">
        <v>35000</v>
      </c>
      <c r="H33" s="22">
        <v>30000</v>
      </c>
      <c r="I33" s="22">
        <v>35000</v>
      </c>
      <c r="J33" s="22">
        <v>37000</v>
      </c>
      <c r="K33" s="22"/>
    </row>
    <row r="34" spans="1:12">
      <c r="A34" s="10"/>
      <c r="B34" s="22" t="s">
        <v>31</v>
      </c>
      <c r="C34" s="22">
        <v>100000</v>
      </c>
      <c r="D34" s="22">
        <v>100000</v>
      </c>
      <c r="E34" s="22">
        <v>80000</v>
      </c>
      <c r="F34" s="22">
        <v>80000</v>
      </c>
      <c r="G34" s="22">
        <v>80000</v>
      </c>
      <c r="H34" s="22">
        <v>70000</v>
      </c>
      <c r="I34" s="22">
        <v>70000</v>
      </c>
      <c r="J34" s="22">
        <v>60000</v>
      </c>
      <c r="K34" s="22"/>
    </row>
    <row r="35" spans="1:12">
      <c r="A35" s="10"/>
      <c r="B35" s="22" t="s">
        <v>32</v>
      </c>
      <c r="C35" s="22">
        <v>1440</v>
      </c>
      <c r="D35" s="22">
        <v>1440</v>
      </c>
      <c r="E35" s="22">
        <v>1440</v>
      </c>
      <c r="F35" s="22">
        <v>1440</v>
      </c>
      <c r="G35" s="22">
        <v>1440</v>
      </c>
      <c r="H35" s="22">
        <v>1440</v>
      </c>
      <c r="I35" s="22">
        <v>3000</v>
      </c>
      <c r="J35" s="22">
        <v>3000</v>
      </c>
      <c r="K35" s="22"/>
    </row>
    <row r="36" spans="1:12">
      <c r="A36" s="10"/>
      <c r="B36" s="22" t="s">
        <v>33</v>
      </c>
      <c r="C36" s="22">
        <v>2220</v>
      </c>
      <c r="D36" s="22">
        <v>2220</v>
      </c>
      <c r="E36" s="22">
        <v>2220</v>
      </c>
      <c r="F36" s="22">
        <v>2220</v>
      </c>
      <c r="G36" s="22">
        <v>2220</v>
      </c>
      <c r="H36" s="22">
        <v>2220</v>
      </c>
      <c r="I36" s="22">
        <v>2200</v>
      </c>
      <c r="J36" s="22">
        <v>2200</v>
      </c>
      <c r="K36" s="22"/>
    </row>
    <row r="37" spans="1:12">
      <c r="A37" s="10"/>
      <c r="B37" s="22" t="s">
        <v>34</v>
      </c>
      <c r="C37" s="22">
        <v>50</v>
      </c>
      <c r="D37" s="22">
        <v>50</v>
      </c>
      <c r="E37" s="22">
        <v>50</v>
      </c>
      <c r="F37" s="22">
        <v>50</v>
      </c>
      <c r="G37" s="22">
        <v>50</v>
      </c>
      <c r="H37" s="22">
        <v>50</v>
      </c>
      <c r="I37" s="22">
        <v>50</v>
      </c>
      <c r="J37" s="22">
        <v>50</v>
      </c>
      <c r="K37" s="22"/>
    </row>
    <row r="38" spans="1:12">
      <c r="A38" s="10"/>
      <c r="B38" s="22" t="s">
        <v>131</v>
      </c>
      <c r="C38" s="22">
        <v>59.02</v>
      </c>
      <c r="D38" s="22">
        <v>59.02</v>
      </c>
      <c r="E38" s="22">
        <v>59.02</v>
      </c>
      <c r="F38" s="22">
        <v>59.02</v>
      </c>
      <c r="G38" s="22">
        <v>59.02</v>
      </c>
      <c r="H38" s="22">
        <v>59.02</v>
      </c>
      <c r="I38" s="22">
        <v>59.02</v>
      </c>
      <c r="J38" s="22">
        <v>59.02</v>
      </c>
      <c r="K38" s="22"/>
    </row>
    <row r="39" spans="1:12">
      <c r="A39" s="10"/>
      <c r="B39" s="22" t="s">
        <v>269</v>
      </c>
      <c r="C39" s="23">
        <v>6000</v>
      </c>
      <c r="D39" s="23">
        <v>6000</v>
      </c>
      <c r="E39" s="23">
        <v>6000</v>
      </c>
      <c r="F39" s="23">
        <v>6000</v>
      </c>
      <c r="G39" s="23">
        <v>6000</v>
      </c>
      <c r="H39" s="23">
        <v>6000</v>
      </c>
      <c r="I39" s="23">
        <v>6000</v>
      </c>
      <c r="J39" s="23">
        <v>6000</v>
      </c>
      <c r="K39" s="22"/>
    </row>
    <row r="40" spans="1:12">
      <c r="A40" s="10"/>
      <c r="B40" s="22" t="s">
        <v>142</v>
      </c>
      <c r="C40" s="23">
        <v>72000</v>
      </c>
      <c r="D40" s="23">
        <v>72000</v>
      </c>
      <c r="E40" s="23">
        <v>72000</v>
      </c>
      <c r="F40" s="23">
        <v>72000</v>
      </c>
      <c r="G40" s="23">
        <v>72000</v>
      </c>
      <c r="H40" s="23">
        <v>72000</v>
      </c>
      <c r="I40" s="23">
        <v>72000</v>
      </c>
      <c r="J40" s="23">
        <v>72000</v>
      </c>
      <c r="K40" s="22"/>
    </row>
    <row r="41" spans="1:12">
      <c r="A41" s="10"/>
      <c r="B41" s="22" t="s">
        <v>191</v>
      </c>
      <c r="C41" s="22">
        <v>1200</v>
      </c>
      <c r="D41" s="22">
        <v>1200</v>
      </c>
      <c r="E41" s="22">
        <v>1200</v>
      </c>
      <c r="F41" s="22">
        <v>1300</v>
      </c>
      <c r="G41" s="22">
        <v>1300</v>
      </c>
      <c r="H41" s="22">
        <v>1300</v>
      </c>
      <c r="I41" s="22">
        <v>0</v>
      </c>
      <c r="J41" s="22">
        <v>1400</v>
      </c>
      <c r="K41" s="22"/>
      <c r="L41" s="1" t="s">
        <v>783</v>
      </c>
    </row>
    <row r="42" spans="1:12">
      <c r="A42" s="10"/>
      <c r="B42" s="22" t="s">
        <v>267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/>
    </row>
    <row r="43" spans="1:12">
      <c r="A43" s="10"/>
      <c r="B43" s="22" t="s">
        <v>192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/>
    </row>
    <row r="44" spans="1:12">
      <c r="A44" s="10"/>
      <c r="B44" s="22" t="s">
        <v>196</v>
      </c>
      <c r="C44" s="22">
        <f>'ZBC-Main Page'!$C$10:$E$10</f>
        <v>2224</v>
      </c>
      <c r="D44" s="22">
        <f>$C$44</f>
        <v>2224</v>
      </c>
      <c r="E44" s="22">
        <f t="shared" ref="E44:J44" si="0">$C$44</f>
        <v>2224</v>
      </c>
      <c r="F44" s="22">
        <f t="shared" si="0"/>
        <v>2224</v>
      </c>
      <c r="G44" s="22">
        <f t="shared" si="0"/>
        <v>2224</v>
      </c>
      <c r="H44" s="22">
        <f t="shared" si="0"/>
        <v>2224</v>
      </c>
      <c r="I44" s="22">
        <f t="shared" si="0"/>
        <v>2224</v>
      </c>
      <c r="J44" s="22">
        <f t="shared" si="0"/>
        <v>2224</v>
      </c>
      <c r="K44" s="22"/>
    </row>
    <row r="45" spans="1:12">
      <c r="A45" s="10"/>
      <c r="B45" s="22" t="s">
        <v>273</v>
      </c>
      <c r="C45" s="22">
        <v>2.2000000000000002</v>
      </c>
      <c r="D45" s="22">
        <v>3.87</v>
      </c>
      <c r="E45" s="22">
        <v>4</v>
      </c>
      <c r="F45" s="22">
        <v>7.45</v>
      </c>
      <c r="G45" s="22">
        <v>8.5</v>
      </c>
      <c r="H45" s="22">
        <v>10.7</v>
      </c>
      <c r="I45" s="22">
        <v>14</v>
      </c>
      <c r="J45" s="22">
        <v>15</v>
      </c>
      <c r="K45" s="22"/>
    </row>
    <row r="46" spans="1:12">
      <c r="A46" s="10"/>
      <c r="B46" s="22" t="s">
        <v>266</v>
      </c>
      <c r="C46" s="23">
        <v>1</v>
      </c>
      <c r="D46" s="23">
        <v>1</v>
      </c>
      <c r="E46" s="23">
        <v>1</v>
      </c>
      <c r="F46" s="23">
        <v>1</v>
      </c>
      <c r="G46" s="23">
        <v>1</v>
      </c>
      <c r="H46" s="23">
        <v>1</v>
      </c>
      <c r="I46" s="23">
        <v>2</v>
      </c>
      <c r="J46" s="23">
        <v>2</v>
      </c>
      <c r="K46" s="22"/>
    </row>
    <row r="47" spans="1:1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>
      <c r="A50" s="10"/>
      <c r="B50" s="10" t="s">
        <v>784</v>
      </c>
      <c r="C50" s="22">
        <v>12000</v>
      </c>
      <c r="D50" s="22">
        <v>12000</v>
      </c>
      <c r="E50" s="22">
        <v>12000</v>
      </c>
      <c r="F50" s="22">
        <v>13000</v>
      </c>
      <c r="G50" s="22">
        <v>13000</v>
      </c>
      <c r="H50" s="22">
        <v>13000</v>
      </c>
      <c r="I50" s="22">
        <v>0</v>
      </c>
      <c r="J50" s="22">
        <v>14000</v>
      </c>
      <c r="K50" s="10"/>
    </row>
    <row r="51" spans="1:1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</sheetData>
  <mergeCells count="2">
    <mergeCell ref="A2:K2"/>
    <mergeCell ref="B4:K4"/>
  </mergeCells>
  <conditionalFormatting sqref="C7:C8">
    <cfRule type="expression" dxfId="10" priority="5" stopIfTrue="1">
      <formula>#REF!="PASS"</formula>
    </cfRule>
  </conditionalFormatting>
  <conditionalFormatting sqref="D8">
    <cfRule type="expression" dxfId="9" priority="1" stopIfTrue="1">
      <formula>#REF!="PASS"</formula>
    </cfRule>
  </conditionalFormatting>
  <conditionalFormatting sqref="D7:H7 J7">
    <cfRule type="expression" dxfId="8" priority="7" stopIfTrue="1">
      <formula>$AA6="PASS"</formula>
    </cfRule>
    <cfRule type="expression" dxfId="7" priority="8" stopIfTrue="1">
      <formula>$AB6="PASS"</formula>
    </cfRule>
  </conditionalFormatting>
  <conditionalFormatting sqref="E8:H8">
    <cfRule type="expression" dxfId="6" priority="3" stopIfTrue="1">
      <formula>$AC7="PASS"</formula>
    </cfRule>
    <cfRule type="expression" dxfId="5" priority="4" stopIfTrue="1">
      <formula>$AD7="PASS"</formula>
    </cfRule>
  </conditionalFormatting>
  <hyperlinks>
    <hyperlink ref="B1" location="'ZBC-Main Page'!A1" display="Previous" xr:uid="{00000000-0004-0000-0100-000000000000}"/>
    <hyperlink ref="E1" location="'ZBC-Main Page'!A1" display="Main-Page" xr:uid="{00000000-0004-0000-0100-00000100000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showGridLines="0" zoomScale="80" zoomScaleNormal="80" workbookViewId="0"/>
  </sheetViews>
  <sheetFormatPr defaultColWidth="8.80859375" defaultRowHeight="12.7"/>
  <cols>
    <col min="1" max="1" width="1.09375" style="1" customWidth="1"/>
    <col min="2" max="2" width="32.6171875" style="1" customWidth="1"/>
    <col min="3" max="6" width="10.7109375" style="1" customWidth="1"/>
    <col min="7" max="16384" width="8.80859375" style="1"/>
  </cols>
  <sheetData>
    <row r="1" spans="1:6">
      <c r="B1" s="2" t="s">
        <v>222</v>
      </c>
      <c r="C1" s="3" t="s">
        <v>256</v>
      </c>
      <c r="F1" s="2" t="s">
        <v>221</v>
      </c>
    </row>
    <row r="2" spans="1:6" ht="29">
      <c r="A2" s="58" t="s">
        <v>788</v>
      </c>
      <c r="B2" s="58"/>
      <c r="C2" s="58"/>
      <c r="D2" s="58"/>
      <c r="E2" s="58"/>
      <c r="F2" s="58"/>
    </row>
    <row r="4" spans="1:6" ht="15.35">
      <c r="B4" s="59" t="s">
        <v>257</v>
      </c>
      <c r="C4" s="59"/>
      <c r="D4" s="59"/>
      <c r="E4" s="59"/>
      <c r="F4" s="59"/>
    </row>
    <row r="5" spans="1:6">
      <c r="B5" s="10"/>
      <c r="C5" s="10"/>
      <c r="D5" s="10"/>
      <c r="E5" s="10"/>
      <c r="F5" s="10"/>
    </row>
    <row r="6" spans="1:6">
      <c r="B6" s="10"/>
      <c r="C6" s="10"/>
      <c r="D6" s="10"/>
      <c r="E6" s="10"/>
      <c r="F6" s="10"/>
    </row>
    <row r="7" spans="1:6">
      <c r="B7" s="30" t="s">
        <v>262</v>
      </c>
      <c r="C7" s="31" t="s">
        <v>259</v>
      </c>
      <c r="D7" s="10"/>
      <c r="E7" s="63" t="s">
        <v>265</v>
      </c>
      <c r="F7" s="63"/>
    </row>
    <row r="8" spans="1:6">
      <c r="B8" s="22" t="s">
        <v>258</v>
      </c>
      <c r="C8" s="32">
        <v>0.35</v>
      </c>
      <c r="D8" s="10"/>
      <c r="E8" s="33" t="s">
        <v>780</v>
      </c>
      <c r="F8" s="34"/>
    </row>
    <row r="9" spans="1:6">
      <c r="B9" s="22" t="s">
        <v>260</v>
      </c>
      <c r="C9" s="35">
        <v>2.5000000000000001E-2</v>
      </c>
      <c r="D9" s="10"/>
      <c r="E9" s="33" t="s">
        <v>781</v>
      </c>
      <c r="F9" s="34"/>
    </row>
    <row r="10" spans="1:6">
      <c r="B10" s="22" t="s">
        <v>261</v>
      </c>
      <c r="C10" s="32">
        <v>0.8</v>
      </c>
      <c r="D10" s="10"/>
      <c r="E10" s="33" t="s">
        <v>773</v>
      </c>
      <c r="F10" s="34"/>
    </row>
    <row r="11" spans="1:6">
      <c r="B11" s="22" t="s">
        <v>59</v>
      </c>
      <c r="C11" s="32">
        <v>0.11</v>
      </c>
      <c r="D11" s="10"/>
      <c r="E11" s="33" t="s">
        <v>774</v>
      </c>
      <c r="F11" s="34"/>
    </row>
    <row r="12" spans="1:6">
      <c r="B12" s="22" t="s">
        <v>60</v>
      </c>
      <c r="C12" s="22">
        <v>5</v>
      </c>
      <c r="D12" s="10"/>
      <c r="E12" s="33" t="s">
        <v>775</v>
      </c>
      <c r="F12" s="34"/>
    </row>
    <row r="13" spans="1:6">
      <c r="B13" s="22" t="s">
        <v>145</v>
      </c>
      <c r="C13" s="22">
        <v>40000</v>
      </c>
      <c r="D13" s="10"/>
      <c r="E13" s="33" t="s">
        <v>776</v>
      </c>
      <c r="F13" s="34"/>
    </row>
    <row r="14" spans="1:6">
      <c r="B14" s="22" t="s">
        <v>146</v>
      </c>
      <c r="C14" s="22">
        <v>9000</v>
      </c>
      <c r="D14" s="10"/>
      <c r="E14" s="33" t="s">
        <v>777</v>
      </c>
      <c r="F14" s="34"/>
    </row>
    <row r="15" spans="1:6">
      <c r="B15" s="22" t="s">
        <v>177</v>
      </c>
      <c r="C15" s="22">
        <v>100000</v>
      </c>
      <c r="D15" s="10"/>
      <c r="E15" s="33" t="s">
        <v>778</v>
      </c>
      <c r="F15" s="34"/>
    </row>
    <row r="16" spans="1:6">
      <c r="B16" s="22" t="s">
        <v>178</v>
      </c>
      <c r="C16" s="22">
        <v>12000</v>
      </c>
      <c r="D16" s="10"/>
      <c r="E16" s="33" t="s">
        <v>779</v>
      </c>
      <c r="F16" s="34"/>
    </row>
    <row r="17" spans="2:6">
      <c r="B17" s="22" t="s">
        <v>199</v>
      </c>
      <c r="C17" s="22">
        <v>150</v>
      </c>
      <c r="D17" s="10"/>
      <c r="E17" s="33"/>
      <c r="F17" s="34"/>
    </row>
    <row r="18" spans="2:6">
      <c r="B18" s="22" t="s">
        <v>206</v>
      </c>
      <c r="C18" s="22">
        <v>2</v>
      </c>
      <c r="D18" s="10"/>
      <c r="E18" s="33"/>
      <c r="F18" s="34"/>
    </row>
    <row r="19" spans="2:6">
      <c r="B19" s="22" t="s">
        <v>207</v>
      </c>
      <c r="C19" s="22">
        <v>4</v>
      </c>
      <c r="D19" s="10"/>
      <c r="E19" s="10"/>
      <c r="F19" s="10"/>
    </row>
    <row r="20" spans="2:6">
      <c r="B20" s="22" t="s">
        <v>209</v>
      </c>
      <c r="C20" s="22">
        <v>4</v>
      </c>
      <c r="D20" s="10"/>
      <c r="E20" s="10"/>
      <c r="F20" s="10"/>
    </row>
    <row r="21" spans="2:6">
      <c r="B21" s="22" t="s">
        <v>201</v>
      </c>
      <c r="C21" s="22">
        <v>12</v>
      </c>
      <c r="D21" s="10"/>
      <c r="E21" s="10"/>
      <c r="F21" s="10"/>
    </row>
    <row r="22" spans="2:6">
      <c r="B22" s="22" t="s">
        <v>202</v>
      </c>
      <c r="C22" s="22">
        <v>4</v>
      </c>
      <c r="D22" s="10"/>
      <c r="E22" s="10"/>
      <c r="F22" s="10"/>
    </row>
    <row r="23" spans="2:6">
      <c r="B23" s="22" t="s">
        <v>203</v>
      </c>
      <c r="C23" s="22">
        <v>8</v>
      </c>
      <c r="D23" s="10"/>
      <c r="E23" s="10"/>
      <c r="F23" s="10"/>
    </row>
    <row r="24" spans="2:6">
      <c r="B24" s="22" t="s">
        <v>204</v>
      </c>
      <c r="C24" s="22">
        <v>8</v>
      </c>
      <c r="D24" s="10"/>
      <c r="E24" s="10"/>
      <c r="F24" s="10"/>
    </row>
    <row r="25" spans="2:6">
      <c r="B25" s="22" t="s">
        <v>205</v>
      </c>
      <c r="C25" s="22">
        <v>16</v>
      </c>
      <c r="D25" s="10"/>
      <c r="E25" s="10"/>
      <c r="F25" s="10"/>
    </row>
    <row r="26" spans="2:6">
      <c r="B26" s="22" t="s">
        <v>210</v>
      </c>
      <c r="C26" s="32">
        <v>0.9</v>
      </c>
      <c r="D26" s="10"/>
      <c r="E26" s="10"/>
      <c r="F26" s="10"/>
    </row>
    <row r="27" spans="2:6">
      <c r="B27" s="36" t="s">
        <v>187</v>
      </c>
      <c r="C27" s="37">
        <v>7.0000000000000007E-2</v>
      </c>
      <c r="D27" s="10"/>
      <c r="E27" s="10"/>
      <c r="F27" s="10"/>
    </row>
    <row r="28" spans="2:6">
      <c r="B28" s="36" t="s">
        <v>263</v>
      </c>
      <c r="C28" s="37">
        <v>0.1</v>
      </c>
      <c r="D28" s="10"/>
      <c r="E28" s="10"/>
      <c r="F28" s="10"/>
    </row>
  </sheetData>
  <mergeCells count="3">
    <mergeCell ref="A2:F2"/>
    <mergeCell ref="B4:F4"/>
    <mergeCell ref="E7:F7"/>
  </mergeCells>
  <hyperlinks>
    <hyperlink ref="B1" location="Input_Data!A1" display="Previous" xr:uid="{00000000-0004-0000-0200-000000000000}"/>
    <hyperlink ref="F1" location="'Master Sheet'!A1" display="Next" xr:uid="{00000000-0004-0000-0200-000001000000}"/>
    <hyperlink ref="C1" location="'ZBC-Main Page'!A1" display="Main-Page" xr:uid="{00000000-0004-0000-0200-000002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2"/>
  <sheetViews>
    <sheetView showGridLines="0" zoomScale="80" zoomScaleNormal="80" workbookViewId="0"/>
  </sheetViews>
  <sheetFormatPr defaultColWidth="8.80859375" defaultRowHeight="12.7" outlineLevelRow="1"/>
  <cols>
    <col min="1" max="1" width="1.09375" style="1" customWidth="1"/>
    <col min="2" max="2" width="32.6171875" style="1" customWidth="1"/>
    <col min="3" max="12" width="10.6171875" style="1" customWidth="1"/>
    <col min="13" max="13" width="10.28515625" style="1" customWidth="1"/>
    <col min="14" max="16384" width="8.80859375" style="1"/>
  </cols>
  <sheetData>
    <row r="1" spans="1:12">
      <c r="B1" s="2" t="s">
        <v>222</v>
      </c>
      <c r="E1" s="3" t="s">
        <v>256</v>
      </c>
    </row>
    <row r="2" spans="1:12" ht="29">
      <c r="A2" s="58" t="s">
        <v>788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4" spans="1:12" ht="15.35">
      <c r="B4" s="64" t="s">
        <v>39</v>
      </c>
      <c r="C4" s="64"/>
      <c r="D4" s="64"/>
      <c r="E4" s="64"/>
      <c r="F4" s="64"/>
      <c r="G4" s="64"/>
      <c r="H4" s="64"/>
      <c r="I4" s="64"/>
      <c r="J4" s="64"/>
      <c r="K4" s="64"/>
      <c r="L4" s="64"/>
    </row>
    <row r="5" spans="1:12">
      <c r="B5" s="38" t="s">
        <v>10</v>
      </c>
      <c r="C5" s="38" t="s">
        <v>42</v>
      </c>
      <c r="D5" s="25" t="s">
        <v>780</v>
      </c>
      <c r="E5" s="25" t="s">
        <v>781</v>
      </c>
      <c r="F5" s="25" t="s">
        <v>773</v>
      </c>
      <c r="G5" s="25" t="s">
        <v>777</v>
      </c>
      <c r="H5" s="25" t="s">
        <v>778</v>
      </c>
      <c r="I5" s="25" t="s">
        <v>779</v>
      </c>
      <c r="J5" s="25" t="s">
        <v>774</v>
      </c>
      <c r="K5" s="25" t="s">
        <v>775</v>
      </c>
      <c r="L5" s="25" t="s">
        <v>776</v>
      </c>
    </row>
    <row r="6" spans="1:12">
      <c r="B6" s="26" t="s">
        <v>9</v>
      </c>
      <c r="C6" s="26"/>
      <c r="D6" s="26">
        <f>Input_Data!C9</f>
        <v>669410</v>
      </c>
      <c r="E6" s="26">
        <f>Input_Data!D9</f>
        <v>669410</v>
      </c>
      <c r="F6" s="26">
        <f>Input_Data!E9</f>
        <v>957463</v>
      </c>
      <c r="G6" s="26">
        <f>Input_Data!F9</f>
        <v>1017000</v>
      </c>
      <c r="H6" s="26">
        <f>Input_Data!G9</f>
        <v>1215730</v>
      </c>
      <c r="I6" s="26">
        <f>Input_Data!H9</f>
        <v>1455000</v>
      </c>
      <c r="J6" s="26">
        <f>Input_Data!I9</f>
        <v>1965000</v>
      </c>
      <c r="K6" s="26">
        <f>Input_Data!J9</f>
        <v>1685000</v>
      </c>
      <c r="L6" s="26">
        <f>Input_Data!K9</f>
        <v>0</v>
      </c>
    </row>
    <row r="7" spans="1:12">
      <c r="B7" s="26" t="s">
        <v>13</v>
      </c>
      <c r="C7" s="26"/>
      <c r="D7" s="26">
        <f>Input_Data!C10</f>
        <v>65000</v>
      </c>
      <c r="E7" s="26">
        <f>Input_Data!D10</f>
        <v>65000</v>
      </c>
      <c r="F7" s="26">
        <f>Input_Data!E10</f>
        <v>65000</v>
      </c>
      <c r="G7" s="26">
        <f>Input_Data!F10</f>
        <v>68000</v>
      </c>
      <c r="H7" s="26">
        <f>Input_Data!G10</f>
        <v>71000</v>
      </c>
      <c r="I7" s="26">
        <f>Input_Data!H10</f>
        <v>110000</v>
      </c>
      <c r="J7" s="26">
        <f>Input_Data!I10</f>
        <v>135000</v>
      </c>
      <c r="K7" s="26">
        <f>Input_Data!J10</f>
        <v>115000</v>
      </c>
      <c r="L7" s="26">
        <f>Input_Data!K10</f>
        <v>0</v>
      </c>
    </row>
    <row r="8" spans="1:12">
      <c r="B8" s="26" t="s">
        <v>14</v>
      </c>
      <c r="C8" s="26"/>
      <c r="D8" s="26">
        <f>Input_Data!C11</f>
        <v>38000</v>
      </c>
      <c r="E8" s="26">
        <f>Input_Data!D11</f>
        <v>38000</v>
      </c>
      <c r="F8" s="26">
        <f>Input_Data!E11</f>
        <v>38000</v>
      </c>
      <c r="G8" s="26">
        <f>Input_Data!F11</f>
        <v>40000</v>
      </c>
      <c r="H8" s="26">
        <f>Input_Data!G11</f>
        <v>45000</v>
      </c>
      <c r="I8" s="26">
        <f>Input_Data!H11</f>
        <v>45000</v>
      </c>
      <c r="J8" s="26">
        <f>Input_Data!I11</f>
        <v>300000</v>
      </c>
      <c r="K8" s="26">
        <f>Input_Data!J11</f>
        <v>150000</v>
      </c>
      <c r="L8" s="26">
        <f>Input_Data!K11</f>
        <v>0</v>
      </c>
    </row>
    <row r="9" spans="1:12">
      <c r="B9" s="26" t="s">
        <v>40</v>
      </c>
      <c r="C9" s="26"/>
      <c r="D9" s="26">
        <f>SUM(D6:D8)</f>
        <v>772410</v>
      </c>
      <c r="E9" s="26">
        <f t="shared" ref="E9:J9" si="0">SUM(E6:E8)</f>
        <v>772410</v>
      </c>
      <c r="F9" s="26">
        <f t="shared" si="0"/>
        <v>1060463</v>
      </c>
      <c r="G9" s="26">
        <f t="shared" si="0"/>
        <v>1125000</v>
      </c>
      <c r="H9" s="26">
        <f t="shared" si="0"/>
        <v>1331730</v>
      </c>
      <c r="I9" s="26">
        <f t="shared" si="0"/>
        <v>1610000</v>
      </c>
      <c r="J9" s="26">
        <f t="shared" si="0"/>
        <v>2400000</v>
      </c>
      <c r="K9" s="26">
        <f>SUM(K6:K8)</f>
        <v>1950000</v>
      </c>
      <c r="L9" s="26">
        <f>SUM(L6:L8)</f>
        <v>0</v>
      </c>
    </row>
    <row r="10" spans="1:12">
      <c r="B10" s="26" t="s">
        <v>41</v>
      </c>
      <c r="C10" s="27">
        <f>Guidelines!$C$8</f>
        <v>0.35</v>
      </c>
      <c r="D10" s="26">
        <f>$C10*D9</f>
        <v>270343.5</v>
      </c>
      <c r="E10" s="26">
        <f t="shared" ref="E10:J10" si="1">$C10*E9</f>
        <v>270343.5</v>
      </c>
      <c r="F10" s="26">
        <f t="shared" si="1"/>
        <v>371162.05</v>
      </c>
      <c r="G10" s="26">
        <f t="shared" si="1"/>
        <v>393750</v>
      </c>
      <c r="H10" s="26">
        <f t="shared" si="1"/>
        <v>466105.49999999994</v>
      </c>
      <c r="I10" s="26">
        <f t="shared" si="1"/>
        <v>563500</v>
      </c>
      <c r="J10" s="26">
        <f t="shared" si="1"/>
        <v>840000</v>
      </c>
      <c r="K10" s="26">
        <f>$C10*K9</f>
        <v>682500</v>
      </c>
      <c r="L10" s="26">
        <f>$C10*L9</f>
        <v>0</v>
      </c>
    </row>
    <row r="11" spans="1:12">
      <c r="B11" s="26" t="s">
        <v>0</v>
      </c>
      <c r="C11" s="26"/>
      <c r="D11" s="26">
        <f>(D9-D10)/5/2</f>
        <v>50206.65</v>
      </c>
      <c r="E11" s="26">
        <f>(E9-E10)/5/2</f>
        <v>50206.65</v>
      </c>
      <c r="F11" s="26">
        <f t="shared" ref="F11:J11" si="2">(F9-F10)/5/2</f>
        <v>68930.095000000001</v>
      </c>
      <c r="G11" s="26">
        <f t="shared" si="2"/>
        <v>73125</v>
      </c>
      <c r="H11" s="26">
        <f t="shared" si="2"/>
        <v>86562.45</v>
      </c>
      <c r="I11" s="26">
        <f t="shared" si="2"/>
        <v>104650</v>
      </c>
      <c r="J11" s="26">
        <f t="shared" si="2"/>
        <v>156000</v>
      </c>
      <c r="K11" s="26">
        <f>(K9-K10)/5/2</f>
        <v>126750</v>
      </c>
      <c r="L11" s="26">
        <f>(L9-L10)/5/2</f>
        <v>0</v>
      </c>
    </row>
    <row r="12" spans="1:12"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</row>
    <row r="13" spans="1:12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</row>
    <row r="14" spans="1:12" ht="15.35">
      <c r="B14" s="64" t="s">
        <v>43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</row>
    <row r="15" spans="1:12">
      <c r="B15" s="38" t="s">
        <v>10</v>
      </c>
      <c r="C15" s="38" t="s">
        <v>42</v>
      </c>
      <c r="D15" s="25" t="s">
        <v>780</v>
      </c>
      <c r="E15" s="25" t="s">
        <v>781</v>
      </c>
      <c r="F15" s="25" t="s">
        <v>773</v>
      </c>
      <c r="G15" s="25" t="s">
        <v>777</v>
      </c>
      <c r="H15" s="25" t="s">
        <v>778</v>
      </c>
      <c r="I15" s="25" t="s">
        <v>779</v>
      </c>
      <c r="J15" s="25" t="s">
        <v>774</v>
      </c>
      <c r="K15" s="25" t="s">
        <v>775</v>
      </c>
      <c r="L15" s="25" t="s">
        <v>776</v>
      </c>
    </row>
    <row r="16" spans="1:12">
      <c r="B16" s="26" t="s">
        <v>6</v>
      </c>
      <c r="C16" s="26"/>
      <c r="D16" s="26">
        <f>Input_Data!C13</f>
        <v>11500</v>
      </c>
      <c r="E16" s="26">
        <f>Input_Data!D13</f>
        <v>11500</v>
      </c>
      <c r="F16" s="26">
        <f>Input_Data!E13</f>
        <v>13000</v>
      </c>
      <c r="G16" s="26">
        <f>Input_Data!F13</f>
        <v>14500</v>
      </c>
      <c r="H16" s="26">
        <f>Input_Data!G13</f>
        <v>14500</v>
      </c>
      <c r="I16" s="26">
        <f>Input_Data!H13</f>
        <v>14500</v>
      </c>
      <c r="J16" s="26">
        <f>Input_Data!I13</f>
        <v>17000</v>
      </c>
      <c r="K16" s="26">
        <f>Input_Data!J13</f>
        <v>17000</v>
      </c>
      <c r="L16" s="26">
        <f>Input_Data!K13</f>
        <v>0</v>
      </c>
    </row>
    <row r="17" spans="2:12">
      <c r="B17" s="26" t="s">
        <v>7</v>
      </c>
      <c r="C17" s="26"/>
      <c r="D17" s="26">
        <f>Input_Data!C14</f>
        <v>0</v>
      </c>
      <c r="E17" s="26">
        <f>Input_Data!D14</f>
        <v>0</v>
      </c>
      <c r="F17" s="26">
        <f>Input_Data!E14</f>
        <v>9000</v>
      </c>
      <c r="G17" s="26">
        <f>Input_Data!F14</f>
        <v>8500</v>
      </c>
      <c r="H17" s="26">
        <f>Input_Data!G14</f>
        <v>8500</v>
      </c>
      <c r="I17" s="26">
        <f>Input_Data!H14</f>
        <v>8500</v>
      </c>
      <c r="J17" s="26">
        <f>Input_Data!I14</f>
        <v>10000</v>
      </c>
      <c r="K17" s="26">
        <f>Input_Data!J14</f>
        <v>10000</v>
      </c>
      <c r="L17" s="26">
        <f>Input_Data!K14</f>
        <v>0</v>
      </c>
    </row>
    <row r="18" spans="2:12">
      <c r="B18" s="26" t="s">
        <v>44</v>
      </c>
      <c r="C18" s="26"/>
      <c r="D18" s="26">
        <f>SUM(D16:D17)</f>
        <v>11500</v>
      </c>
      <c r="E18" s="26">
        <f t="shared" ref="E18:J18" si="3">SUM(E16:E17)</f>
        <v>11500</v>
      </c>
      <c r="F18" s="26">
        <f t="shared" si="3"/>
        <v>22000</v>
      </c>
      <c r="G18" s="26">
        <f t="shared" si="3"/>
        <v>23000</v>
      </c>
      <c r="H18" s="26">
        <f t="shared" si="3"/>
        <v>23000</v>
      </c>
      <c r="I18" s="26">
        <f t="shared" si="3"/>
        <v>23000</v>
      </c>
      <c r="J18" s="26">
        <f t="shared" si="3"/>
        <v>27000</v>
      </c>
      <c r="K18" s="26">
        <f>SUM(K16:K17)</f>
        <v>27000</v>
      </c>
      <c r="L18" s="26">
        <f>SUM(L16:L17)</f>
        <v>0</v>
      </c>
    </row>
    <row r="19" spans="2:12">
      <c r="B19" s="26" t="s">
        <v>45</v>
      </c>
      <c r="C19" s="26"/>
      <c r="D19" s="26">
        <f>D18*12</f>
        <v>138000</v>
      </c>
      <c r="E19" s="26">
        <f t="shared" ref="E19:J19" si="4">E18*12</f>
        <v>138000</v>
      </c>
      <c r="F19" s="26">
        <f t="shared" si="4"/>
        <v>264000</v>
      </c>
      <c r="G19" s="26">
        <f t="shared" si="4"/>
        <v>276000</v>
      </c>
      <c r="H19" s="26">
        <f t="shared" si="4"/>
        <v>276000</v>
      </c>
      <c r="I19" s="26">
        <f t="shared" si="4"/>
        <v>276000</v>
      </c>
      <c r="J19" s="26">
        <f t="shared" si="4"/>
        <v>324000</v>
      </c>
      <c r="K19" s="26">
        <f>K18*12</f>
        <v>324000</v>
      </c>
      <c r="L19" s="26">
        <f>L18*12</f>
        <v>0</v>
      </c>
    </row>
    <row r="20" spans="2:12"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</row>
    <row r="21" spans="2:12"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</row>
    <row r="22" spans="2:12" ht="15.35">
      <c r="B22" s="64" t="s">
        <v>46</v>
      </c>
      <c r="C22" s="64"/>
      <c r="D22" s="64"/>
      <c r="E22" s="64"/>
      <c r="F22" s="64"/>
      <c r="G22" s="64"/>
      <c r="H22" s="64"/>
      <c r="I22" s="64"/>
      <c r="J22" s="64"/>
      <c r="K22" s="64"/>
      <c r="L22" s="64"/>
    </row>
    <row r="23" spans="2:12">
      <c r="B23" s="38" t="s">
        <v>10</v>
      </c>
      <c r="C23" s="38" t="s">
        <v>42</v>
      </c>
      <c r="D23" s="25" t="s">
        <v>780</v>
      </c>
      <c r="E23" s="25" t="s">
        <v>781</v>
      </c>
      <c r="F23" s="25" t="s">
        <v>773</v>
      </c>
      <c r="G23" s="25" t="s">
        <v>777</v>
      </c>
      <c r="H23" s="25" t="s">
        <v>778</v>
      </c>
      <c r="I23" s="25" t="s">
        <v>779</v>
      </c>
      <c r="J23" s="25" t="s">
        <v>774</v>
      </c>
      <c r="K23" s="25" t="s">
        <v>775</v>
      </c>
      <c r="L23" s="25" t="s">
        <v>776</v>
      </c>
    </row>
    <row r="24" spans="2:12">
      <c r="B24" s="26" t="s">
        <v>47</v>
      </c>
      <c r="C24" s="26"/>
      <c r="D24" s="26">
        <f t="shared" ref="D24:J24" si="5">D9</f>
        <v>772410</v>
      </c>
      <c r="E24" s="26">
        <f t="shared" si="5"/>
        <v>772410</v>
      </c>
      <c r="F24" s="26">
        <f t="shared" si="5"/>
        <v>1060463</v>
      </c>
      <c r="G24" s="26">
        <f t="shared" si="5"/>
        <v>1125000</v>
      </c>
      <c r="H24" s="26">
        <f t="shared" si="5"/>
        <v>1331730</v>
      </c>
      <c r="I24" s="26">
        <f t="shared" si="5"/>
        <v>1610000</v>
      </c>
      <c r="J24" s="26">
        <f t="shared" si="5"/>
        <v>2400000</v>
      </c>
      <c r="K24" s="26">
        <f>K9</f>
        <v>1950000</v>
      </c>
      <c r="L24" s="26">
        <f>L9</f>
        <v>0</v>
      </c>
    </row>
    <row r="25" spans="2:12">
      <c r="B25" s="26" t="s">
        <v>130</v>
      </c>
      <c r="C25" s="39"/>
      <c r="D25" s="40">
        <f>(D27+D29+D31+D33+D35)/5</f>
        <v>15544.751250000001</v>
      </c>
      <c r="E25" s="40">
        <f t="shared" ref="E25:J25" si="6">(E27+E29+E31+E33+E35)/5</f>
        <v>15544.751250000001</v>
      </c>
      <c r="F25" s="40">
        <f t="shared" si="6"/>
        <v>21341.817875000004</v>
      </c>
      <c r="G25" s="40">
        <f t="shared" si="6"/>
        <v>22640.625</v>
      </c>
      <c r="H25" s="40">
        <f t="shared" si="6"/>
        <v>26801.066250000003</v>
      </c>
      <c r="I25" s="40">
        <f t="shared" si="6"/>
        <v>32401.25</v>
      </c>
      <c r="J25" s="40">
        <f t="shared" si="6"/>
        <v>48300</v>
      </c>
      <c r="K25" s="40">
        <f>(K27+K29+K31+K33+K35)/5</f>
        <v>39243.75</v>
      </c>
      <c r="L25" s="40">
        <f>(L27+L29+L31+L33+L35)/5</f>
        <v>0</v>
      </c>
    </row>
    <row r="26" spans="2:12" hidden="1" outlineLevel="1">
      <c r="B26" s="26" t="s">
        <v>53</v>
      </c>
      <c r="C26" s="26"/>
      <c r="D26" s="26">
        <f>D24-D$11</f>
        <v>722203.35</v>
      </c>
      <c r="E26" s="26">
        <f>E24-E$11</f>
        <v>722203.35</v>
      </c>
      <c r="F26" s="26">
        <f t="shared" ref="F26:J26" si="7">F24-F$11</f>
        <v>991532.90500000003</v>
      </c>
      <c r="G26" s="26">
        <f t="shared" si="7"/>
        <v>1051875</v>
      </c>
      <c r="H26" s="26">
        <f t="shared" si="7"/>
        <v>1245167.55</v>
      </c>
      <c r="I26" s="26">
        <f t="shared" si="7"/>
        <v>1505350</v>
      </c>
      <c r="J26" s="26">
        <f t="shared" si="7"/>
        <v>2244000</v>
      </c>
      <c r="K26" s="26">
        <f>K24-K$11</f>
        <v>1823250</v>
      </c>
      <c r="L26" s="26">
        <f>L24-L$11</f>
        <v>0</v>
      </c>
    </row>
    <row r="27" spans="2:12" hidden="1" outlineLevel="1">
      <c r="B27" s="26" t="s">
        <v>48</v>
      </c>
      <c r="C27" s="39">
        <f>Guidelines!$C$9</f>
        <v>2.5000000000000001E-2</v>
      </c>
      <c r="D27" s="40">
        <f>D26*$C27</f>
        <v>18055.083750000002</v>
      </c>
      <c r="E27" s="40">
        <f t="shared" ref="E27:J27" si="8">E26*$C27</f>
        <v>18055.083750000002</v>
      </c>
      <c r="F27" s="40">
        <f t="shared" si="8"/>
        <v>24788.322625000001</v>
      </c>
      <c r="G27" s="40">
        <f t="shared" si="8"/>
        <v>26296.875</v>
      </c>
      <c r="H27" s="40">
        <f t="shared" si="8"/>
        <v>31129.188750000001</v>
      </c>
      <c r="I27" s="40">
        <f t="shared" si="8"/>
        <v>37633.75</v>
      </c>
      <c r="J27" s="40">
        <f t="shared" si="8"/>
        <v>56100</v>
      </c>
      <c r="K27" s="40">
        <f>K26*$C27</f>
        <v>45581.25</v>
      </c>
      <c r="L27" s="40">
        <f>L26*$C27</f>
        <v>0</v>
      </c>
    </row>
    <row r="28" spans="2:12" hidden="1" outlineLevel="1">
      <c r="B28" s="26" t="s">
        <v>57</v>
      </c>
      <c r="C28" s="26"/>
      <c r="D28" s="26">
        <f t="shared" ref="D28:L28" si="9">D26-D$11</f>
        <v>671996.7</v>
      </c>
      <c r="E28" s="26">
        <f t="shared" si="9"/>
        <v>671996.7</v>
      </c>
      <c r="F28" s="26">
        <f t="shared" si="9"/>
        <v>922602.81</v>
      </c>
      <c r="G28" s="26">
        <f t="shared" si="9"/>
        <v>978750</v>
      </c>
      <c r="H28" s="26">
        <f t="shared" si="9"/>
        <v>1158605.1000000001</v>
      </c>
      <c r="I28" s="26">
        <f t="shared" si="9"/>
        <v>1400700</v>
      </c>
      <c r="J28" s="26">
        <f t="shared" si="9"/>
        <v>2088000</v>
      </c>
      <c r="K28" s="26">
        <f t="shared" si="9"/>
        <v>1696500</v>
      </c>
      <c r="L28" s="26">
        <f t="shared" si="9"/>
        <v>0</v>
      </c>
    </row>
    <row r="29" spans="2:12" hidden="1" outlineLevel="1">
      <c r="B29" s="26" t="s">
        <v>49</v>
      </c>
      <c r="C29" s="39">
        <f>Guidelines!$C$9</f>
        <v>2.5000000000000001E-2</v>
      </c>
      <c r="D29" s="40">
        <f t="shared" ref="D29:J29" si="10">D28*$C29</f>
        <v>16799.9175</v>
      </c>
      <c r="E29" s="40">
        <f t="shared" si="10"/>
        <v>16799.9175</v>
      </c>
      <c r="F29" s="40">
        <f t="shared" si="10"/>
        <v>23065.070250000004</v>
      </c>
      <c r="G29" s="40">
        <f t="shared" si="10"/>
        <v>24468.75</v>
      </c>
      <c r="H29" s="40">
        <f t="shared" si="10"/>
        <v>28965.127500000002</v>
      </c>
      <c r="I29" s="40">
        <f t="shared" si="10"/>
        <v>35017.5</v>
      </c>
      <c r="J29" s="40">
        <f t="shared" si="10"/>
        <v>52200</v>
      </c>
      <c r="K29" s="40">
        <f>K28*$C29</f>
        <v>42412.5</v>
      </c>
      <c r="L29" s="40">
        <f>L28*$C29</f>
        <v>0</v>
      </c>
    </row>
    <row r="30" spans="2:12" hidden="1" outlineLevel="1">
      <c r="B30" s="26" t="s">
        <v>56</v>
      </c>
      <c r="C30" s="39"/>
      <c r="D30" s="26">
        <f t="shared" ref="D30:L30" si="11">D28-D$11</f>
        <v>621790.04999999993</v>
      </c>
      <c r="E30" s="26">
        <f t="shared" si="11"/>
        <v>621790.04999999993</v>
      </c>
      <c r="F30" s="26">
        <f t="shared" si="11"/>
        <v>853672.71500000008</v>
      </c>
      <c r="G30" s="26">
        <f t="shared" si="11"/>
        <v>905625</v>
      </c>
      <c r="H30" s="26">
        <f t="shared" si="11"/>
        <v>1072042.6500000001</v>
      </c>
      <c r="I30" s="26">
        <f t="shared" si="11"/>
        <v>1296050</v>
      </c>
      <c r="J30" s="26">
        <f t="shared" si="11"/>
        <v>1932000</v>
      </c>
      <c r="K30" s="26">
        <f t="shared" si="11"/>
        <v>1569750</v>
      </c>
      <c r="L30" s="26">
        <f t="shared" si="11"/>
        <v>0</v>
      </c>
    </row>
    <row r="31" spans="2:12" hidden="1" outlineLevel="1">
      <c r="B31" s="26" t="s">
        <v>50</v>
      </c>
      <c r="C31" s="39">
        <f>Guidelines!$C$9</f>
        <v>2.5000000000000001E-2</v>
      </c>
      <c r="D31" s="40">
        <f t="shared" ref="D31:J31" si="12">D30*$C31</f>
        <v>15544.751249999999</v>
      </c>
      <c r="E31" s="40">
        <f t="shared" si="12"/>
        <v>15544.751249999999</v>
      </c>
      <c r="F31" s="40">
        <f t="shared" si="12"/>
        <v>21341.817875000004</v>
      </c>
      <c r="G31" s="40">
        <f t="shared" si="12"/>
        <v>22640.625</v>
      </c>
      <c r="H31" s="40">
        <f t="shared" si="12"/>
        <v>26801.066250000003</v>
      </c>
      <c r="I31" s="40">
        <f t="shared" si="12"/>
        <v>32401.25</v>
      </c>
      <c r="J31" s="40">
        <f t="shared" si="12"/>
        <v>48300</v>
      </c>
      <c r="K31" s="40">
        <f>K30*$C31</f>
        <v>39243.75</v>
      </c>
      <c r="L31" s="40">
        <f>L30*$C31</f>
        <v>0</v>
      </c>
    </row>
    <row r="32" spans="2:12" hidden="1" outlineLevel="1">
      <c r="B32" s="26" t="s">
        <v>55</v>
      </c>
      <c r="C32" s="39"/>
      <c r="D32" s="26">
        <f t="shared" ref="D32:L32" si="13">D30-D$11</f>
        <v>571583.39999999991</v>
      </c>
      <c r="E32" s="26">
        <f t="shared" si="13"/>
        <v>571583.39999999991</v>
      </c>
      <c r="F32" s="26">
        <f t="shared" si="13"/>
        <v>784742.62000000011</v>
      </c>
      <c r="G32" s="26">
        <f t="shared" si="13"/>
        <v>832500</v>
      </c>
      <c r="H32" s="26">
        <f t="shared" si="13"/>
        <v>985480.20000000019</v>
      </c>
      <c r="I32" s="26">
        <f t="shared" si="13"/>
        <v>1191400</v>
      </c>
      <c r="J32" s="26">
        <f t="shared" si="13"/>
        <v>1776000</v>
      </c>
      <c r="K32" s="26">
        <f t="shared" si="13"/>
        <v>1443000</v>
      </c>
      <c r="L32" s="26">
        <f t="shared" si="13"/>
        <v>0</v>
      </c>
    </row>
    <row r="33" spans="2:12" hidden="1" outlineLevel="1">
      <c r="B33" s="26" t="s">
        <v>51</v>
      </c>
      <c r="C33" s="39">
        <f>Guidelines!$C$9</f>
        <v>2.5000000000000001E-2</v>
      </c>
      <c r="D33" s="40">
        <f t="shared" ref="D33:J33" si="14">D32*$C33</f>
        <v>14289.584999999999</v>
      </c>
      <c r="E33" s="40">
        <f t="shared" si="14"/>
        <v>14289.584999999999</v>
      </c>
      <c r="F33" s="40">
        <f t="shared" si="14"/>
        <v>19618.565500000004</v>
      </c>
      <c r="G33" s="40">
        <f t="shared" si="14"/>
        <v>20812.5</v>
      </c>
      <c r="H33" s="40">
        <f t="shared" si="14"/>
        <v>24637.005000000005</v>
      </c>
      <c r="I33" s="40">
        <f t="shared" si="14"/>
        <v>29785</v>
      </c>
      <c r="J33" s="40">
        <f t="shared" si="14"/>
        <v>44400</v>
      </c>
      <c r="K33" s="40">
        <f>K32*$C33</f>
        <v>36075</v>
      </c>
      <c r="L33" s="40">
        <f>L32*$C33</f>
        <v>0</v>
      </c>
    </row>
    <row r="34" spans="2:12" hidden="1" outlineLevel="1">
      <c r="B34" s="26" t="s">
        <v>54</v>
      </c>
      <c r="C34" s="39"/>
      <c r="D34" s="26">
        <f t="shared" ref="D34:L34" si="15">D32-D$11</f>
        <v>521376.74999999988</v>
      </c>
      <c r="E34" s="26">
        <f t="shared" si="15"/>
        <v>521376.74999999988</v>
      </c>
      <c r="F34" s="26">
        <f t="shared" si="15"/>
        <v>715812.52500000014</v>
      </c>
      <c r="G34" s="26">
        <f t="shared" si="15"/>
        <v>759375</v>
      </c>
      <c r="H34" s="26">
        <f t="shared" si="15"/>
        <v>898917.75000000023</v>
      </c>
      <c r="I34" s="26">
        <f t="shared" si="15"/>
        <v>1086750</v>
      </c>
      <c r="J34" s="26">
        <f t="shared" si="15"/>
        <v>1620000</v>
      </c>
      <c r="K34" s="26">
        <f t="shared" si="15"/>
        <v>1316250</v>
      </c>
      <c r="L34" s="26">
        <f t="shared" si="15"/>
        <v>0</v>
      </c>
    </row>
    <row r="35" spans="2:12" hidden="1" outlineLevel="1">
      <c r="B35" s="26" t="s">
        <v>52</v>
      </c>
      <c r="C35" s="39">
        <f>Guidelines!$C$9</f>
        <v>2.5000000000000001E-2</v>
      </c>
      <c r="D35" s="40">
        <f t="shared" ref="D35:J35" si="16">D34*$C35</f>
        <v>13034.418749999997</v>
      </c>
      <c r="E35" s="40">
        <f t="shared" si="16"/>
        <v>13034.418749999997</v>
      </c>
      <c r="F35" s="40">
        <f t="shared" si="16"/>
        <v>17895.313125000004</v>
      </c>
      <c r="G35" s="40">
        <f t="shared" si="16"/>
        <v>18984.375</v>
      </c>
      <c r="H35" s="40">
        <f t="shared" si="16"/>
        <v>22472.943750000006</v>
      </c>
      <c r="I35" s="40">
        <f t="shared" si="16"/>
        <v>27168.75</v>
      </c>
      <c r="J35" s="40">
        <f t="shared" si="16"/>
        <v>40500</v>
      </c>
      <c r="K35" s="40">
        <f>K34*$C35</f>
        <v>32906.25</v>
      </c>
      <c r="L35" s="40">
        <f>L34*$C35</f>
        <v>0</v>
      </c>
    </row>
    <row r="36" spans="2:12" collapsed="1"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</row>
    <row r="37" spans="2:12"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</row>
    <row r="38" spans="2:12" ht="15.35">
      <c r="B38" s="64" t="s">
        <v>180</v>
      </c>
      <c r="C38" s="64"/>
      <c r="D38" s="64"/>
      <c r="E38" s="64"/>
      <c r="F38" s="64"/>
      <c r="G38" s="64"/>
      <c r="H38" s="64"/>
      <c r="I38" s="64"/>
      <c r="J38" s="64"/>
      <c r="K38" s="64"/>
      <c r="L38" s="64"/>
    </row>
    <row r="39" spans="2:12">
      <c r="B39" s="38" t="s">
        <v>10</v>
      </c>
      <c r="C39" s="38" t="s">
        <v>42</v>
      </c>
      <c r="D39" s="25" t="s">
        <v>780</v>
      </c>
      <c r="E39" s="25" t="s">
        <v>781</v>
      </c>
      <c r="F39" s="25" t="s">
        <v>773</v>
      </c>
      <c r="G39" s="25" t="s">
        <v>777</v>
      </c>
      <c r="H39" s="25" t="s">
        <v>778</v>
      </c>
      <c r="I39" s="25" t="s">
        <v>779</v>
      </c>
      <c r="J39" s="25" t="s">
        <v>774</v>
      </c>
      <c r="K39" s="25" t="s">
        <v>775</v>
      </c>
      <c r="L39" s="25" t="s">
        <v>776</v>
      </c>
    </row>
    <row r="40" spans="2:12">
      <c r="B40" s="26" t="s">
        <v>58</v>
      </c>
      <c r="C40" s="27">
        <f>Guidelines!$C$10</f>
        <v>0.8</v>
      </c>
      <c r="D40" s="26">
        <f t="shared" ref="D40:J40" si="17">D9*$C40</f>
        <v>617928</v>
      </c>
      <c r="E40" s="26">
        <f t="shared" si="17"/>
        <v>617928</v>
      </c>
      <c r="F40" s="26">
        <f t="shared" si="17"/>
        <v>848370.4</v>
      </c>
      <c r="G40" s="26">
        <f t="shared" si="17"/>
        <v>900000</v>
      </c>
      <c r="H40" s="26">
        <f t="shared" si="17"/>
        <v>1065384</v>
      </c>
      <c r="I40" s="26">
        <f t="shared" si="17"/>
        <v>1288000</v>
      </c>
      <c r="J40" s="26">
        <f t="shared" si="17"/>
        <v>1920000</v>
      </c>
      <c r="K40" s="26">
        <f>K9*$C40</f>
        <v>1560000</v>
      </c>
      <c r="L40" s="26">
        <f>L9*$C40</f>
        <v>0</v>
      </c>
    </row>
    <row r="41" spans="2:12">
      <c r="B41" s="26" t="s">
        <v>59</v>
      </c>
      <c r="C41" s="27">
        <f>Guidelines!$C$11</f>
        <v>0.11</v>
      </c>
      <c r="D41" s="26"/>
      <c r="E41" s="26"/>
      <c r="F41" s="26"/>
      <c r="G41" s="26"/>
      <c r="H41" s="26"/>
      <c r="I41" s="26"/>
      <c r="J41" s="26"/>
      <c r="K41" s="26"/>
      <c r="L41" s="26"/>
    </row>
    <row r="42" spans="2:12">
      <c r="B42" s="26" t="s">
        <v>60</v>
      </c>
      <c r="C42" s="26">
        <f>Guidelines!C12</f>
        <v>5</v>
      </c>
      <c r="D42" s="40"/>
      <c r="E42" s="40"/>
      <c r="F42" s="40"/>
      <c r="G42" s="40"/>
      <c r="H42" s="40"/>
      <c r="I42" s="40"/>
      <c r="J42" s="40"/>
      <c r="K42" s="40"/>
      <c r="L42" s="40"/>
    </row>
    <row r="43" spans="2:12">
      <c r="B43" s="26" t="s">
        <v>61</v>
      </c>
      <c r="C43" s="26"/>
      <c r="D43" s="40">
        <f>PMT($C41/12,$C42*12,-D40)</f>
        <v>13435.252004432336</v>
      </c>
      <c r="E43" s="40">
        <f>PMT($C41/12,$C42*12,-E40)</f>
        <v>13435.252004432336</v>
      </c>
      <c r="F43" s="40">
        <f t="shared" ref="F43:J43" si="18">PMT($C41/12,$C42*12,-F40)</f>
        <v>18445.628159107633</v>
      </c>
      <c r="G43" s="40">
        <f t="shared" si="18"/>
        <v>19568.180765378977</v>
      </c>
      <c r="H43" s="40">
        <f t="shared" si="18"/>
        <v>23164.029662825018</v>
      </c>
      <c r="I43" s="40">
        <f t="shared" si="18"/>
        <v>28004.240917564581</v>
      </c>
      <c r="J43" s="40">
        <f t="shared" si="18"/>
        <v>41745.452299475153</v>
      </c>
      <c r="K43" s="40">
        <f>PMT($C41/12,$C42*12,-K40)</f>
        <v>33918.17999332356</v>
      </c>
      <c r="L43" s="40">
        <f>PMT($C41/12,$C42*12,-L40)</f>
        <v>0</v>
      </c>
    </row>
    <row r="44" spans="2:12">
      <c r="B44" s="26" t="s">
        <v>128</v>
      </c>
      <c r="C44" s="26"/>
      <c r="D44" s="40">
        <f t="shared" ref="D44:J44" si="19">D111/12</f>
        <v>3136.4520044323344</v>
      </c>
      <c r="E44" s="40">
        <f t="shared" si="19"/>
        <v>3136.4520044323344</v>
      </c>
      <c r="F44" s="40">
        <f t="shared" si="19"/>
        <v>4306.1214924409669</v>
      </c>
      <c r="G44" s="40">
        <f t="shared" si="19"/>
        <v>4568.1807653789792</v>
      </c>
      <c r="H44" s="40">
        <f t="shared" si="19"/>
        <v>5407.6296628250211</v>
      </c>
      <c r="I44" s="40">
        <f t="shared" si="19"/>
        <v>6537.5742508979156</v>
      </c>
      <c r="J44" s="40">
        <f t="shared" si="19"/>
        <v>9745.4522994751496</v>
      </c>
      <c r="K44" s="40">
        <f>K111/12</f>
        <v>7918.1799933235625</v>
      </c>
      <c r="L44" s="40">
        <f>L111/12</f>
        <v>0</v>
      </c>
    </row>
    <row r="45" spans="2:12" hidden="1" outlineLevel="1">
      <c r="B45" s="26" t="s">
        <v>62</v>
      </c>
      <c r="C45" s="26">
        <v>1</v>
      </c>
      <c r="D45" s="40">
        <f>D$40*$C$41/12</f>
        <v>5664.34</v>
      </c>
      <c r="E45" s="40">
        <f t="shared" ref="E45:L45" si="20">E$40*$C$41/12</f>
        <v>5664.34</v>
      </c>
      <c r="F45" s="40">
        <f t="shared" si="20"/>
        <v>7776.7286666666669</v>
      </c>
      <c r="G45" s="40">
        <f t="shared" si="20"/>
        <v>8250</v>
      </c>
      <c r="H45" s="40">
        <f t="shared" si="20"/>
        <v>9766.02</v>
      </c>
      <c r="I45" s="40">
        <f t="shared" si="20"/>
        <v>11806.666666666666</v>
      </c>
      <c r="J45" s="40">
        <f t="shared" si="20"/>
        <v>17600</v>
      </c>
      <c r="K45" s="40">
        <f t="shared" si="20"/>
        <v>14300</v>
      </c>
      <c r="L45" s="40">
        <f t="shared" si="20"/>
        <v>0</v>
      </c>
    </row>
    <row r="46" spans="2:12" hidden="1" outlineLevel="1">
      <c r="B46" s="26" t="s">
        <v>63</v>
      </c>
      <c r="C46" s="24">
        <v>2</v>
      </c>
      <c r="D46" s="40">
        <f>IF((D$40-(D$43-D45))&lt;0,0,(D$40-(D$43-D45))*$C$41/12)</f>
        <v>5593.1066399593701</v>
      </c>
      <c r="E46" s="40">
        <f t="shared" ref="E46:J46" si="21">IF((E$40-(E$43-E45))&lt;0,0,(E$40-(E$43-E45))*$C$41/12)</f>
        <v>5593.1066399593701</v>
      </c>
      <c r="F46" s="40">
        <f t="shared" si="21"/>
        <v>7678.9304213192918</v>
      </c>
      <c r="G46" s="40">
        <f t="shared" si="21"/>
        <v>8146.2500096506928</v>
      </c>
      <c r="H46" s="40">
        <f t="shared" si="21"/>
        <v>9643.2049114241054</v>
      </c>
      <c r="I46" s="40">
        <f t="shared" si="21"/>
        <v>11658.188902700103</v>
      </c>
      <c r="J46" s="40">
        <f t="shared" si="21"/>
        <v>17378.666687254812</v>
      </c>
      <c r="K46" s="40">
        <f>IF((K$40-(K$43-K45))&lt;0,0,(K$40-(K$43-K45))*$C$41/12)</f>
        <v>14120.166683394535</v>
      </c>
      <c r="L46" s="40">
        <f>IF((L$40-(L$43-L45))&lt;0,0,(L$40-(L$43-L45))*$C$41/12)</f>
        <v>0</v>
      </c>
    </row>
    <row r="47" spans="2:12" hidden="1" outlineLevel="1">
      <c r="B47" s="26" t="s">
        <v>64</v>
      </c>
      <c r="C47" s="26">
        <v>3</v>
      </c>
      <c r="D47" s="40">
        <f>IF((D$40-($C46*D$43-SUM(D$45:D46)))&lt;0,0,(D$40-($C46*D$43-SUM(D$45:D46))))*$C$41/12</f>
        <v>5521.220307451702</v>
      </c>
      <c r="E47" s="40">
        <f>IF((E$40-($C46*E$43-SUM(E$45:E46)))&lt;0,0,(E$40-($C46*E$43-SUM(E$45:E46))))*$C$41/12</f>
        <v>5521.220307451702</v>
      </c>
      <c r="F47" s="40">
        <f>IF((F$40-($C46*F$43-SUM(F$45:F46)))&lt;0,0,(F$40-($C46*F$43-SUM(F$45:F46))))*$C$41/12</f>
        <v>7580.2356920562315</v>
      </c>
      <c r="G47" s="40">
        <f>IF((G$40-($C46*G$43-SUM(G$45:G46)))&lt;0,0,(G$40-($C46*G$43-SUM(G$45:G46))))*$C$41/12</f>
        <v>8041.5489777231842</v>
      </c>
      <c r="H47" s="40">
        <f>IF((H$40-($C46*H$43-SUM(H$45:H46)))&lt;0,0,(H$40-($C46*H$43-SUM(H$45:H46))))*$C$41/12</f>
        <v>9519.2640178695965</v>
      </c>
      <c r="I47" s="40">
        <f>IF((I$40-($C46*I$43-SUM(I$45:I46)))&lt;0,0,(I$40-($C46*I$43-SUM(I$45:I46))))*$C$41/12</f>
        <v>11508.350092563845</v>
      </c>
      <c r="J47" s="40">
        <f>IF((J$40-($C46*J$43-SUM(J$45:J46)))&lt;0,0,(J$40-($C46*J$43-SUM(J$45:J46))))*$C$41/12</f>
        <v>17155.304485809458</v>
      </c>
      <c r="K47" s="40">
        <f>IF((K$40-($C46*K$43-SUM(K$45:K46)))&lt;0,0,(K$40-($C46*K$43-SUM(K$45:K46))))*$C$41/12</f>
        <v>13938.684894720185</v>
      </c>
      <c r="L47" s="40">
        <f>IF((L$40-($C46*L$43-SUM(L$45:L46)))&lt;0,0,(L$40-($C46*L$43-SUM(L$45:L46))))*$C$41/12</f>
        <v>0</v>
      </c>
    </row>
    <row r="48" spans="2:12" hidden="1" outlineLevel="1">
      <c r="B48" s="26" t="s">
        <v>65</v>
      </c>
      <c r="C48" s="24">
        <v>4</v>
      </c>
      <c r="D48" s="40">
        <f>IF((D$40-($C47*D$43-SUM(D$45:D47)))&lt;0,0,(D$40-($C47*D$43-SUM(D$45:D47))))*$C$41/12</f>
        <v>5448.6750168960452</v>
      </c>
      <c r="E48" s="40">
        <f>IF((E$40-($C47*E$43-SUM(E$45:E47)))&lt;0,0,(E$40-($C47*E$43-SUM(E$45:E47))))*$C$41/12</f>
        <v>5448.6750168960452</v>
      </c>
      <c r="F48" s="40">
        <f>IF((F$40-($C47*F$43-SUM(F$45:F47)))&lt;0,0,(F$40-($C47*F$43-SUM(F$45:F47))))*$C$41/12</f>
        <v>7480.6362611082614</v>
      </c>
      <c r="G48" s="40">
        <f>IF((G$40-($C47*G$43-SUM(G$45:G47)))&lt;0,0,(G$40-($C47*G$43-SUM(G$45:G47))))*$C$41/12</f>
        <v>7935.8881863363385</v>
      </c>
      <c r="H48" s="40">
        <f>IF((H$40-($C47*H$43-SUM(H$45:H47)))&lt;0,0,(H$40-($C47*H$43-SUM(H$45:H47))))*$C$41/12</f>
        <v>9394.1869994575045</v>
      </c>
      <c r="I48" s="40">
        <f>IF((I$40-($C47*I$43-SUM(I$45:I47)))&lt;0,0,(I$40-($C47*I$43-SUM(I$45:I47))))*$C$41/12</f>
        <v>11357.137760001337</v>
      </c>
      <c r="J48" s="40">
        <f>IF((J$40-($C47*J$43-SUM(J$45:J47)))&lt;0,0,(J$40-($C47*J$43-SUM(J$45:J47))))*$C$41/12</f>
        <v>16929.894797517522</v>
      </c>
      <c r="K48" s="40">
        <f>IF((K$40-($C47*K$43-SUM(K$45:K47)))&lt;0,0,(K$40-($C47*K$43-SUM(K$45:K47))))*$C$41/12</f>
        <v>13755.539522982986</v>
      </c>
      <c r="L48" s="40">
        <f>IF((L$40-($C47*L$43-SUM(L$45:L47)))&lt;0,0,(L$40-($C47*L$43-SUM(L$45:L47))))*$C$41/12</f>
        <v>0</v>
      </c>
    </row>
    <row r="49" spans="2:12" hidden="1" outlineLevel="1">
      <c r="B49" s="26" t="s">
        <v>66</v>
      </c>
      <c r="C49" s="26">
        <v>5</v>
      </c>
      <c r="D49" s="40">
        <f>IF((D$40-($C48*D$43-SUM(D$45:D48)))&lt;0,0,(D$40-($C48*D$43-SUM(D$45:D48))))*$C$41/12</f>
        <v>5375.4647278436296</v>
      </c>
      <c r="E49" s="40">
        <f>IF((E$40-($C48*E$43-SUM(E$45:E48)))&lt;0,0,(E$40-($C48*E$43-SUM(E$45:E48))))*$C$41/12</f>
        <v>5375.4647278436296</v>
      </c>
      <c r="F49" s="40">
        <f>IF((F$40-($C48*F$43-SUM(F$45:F48)))&lt;0,0,(F$40-($C48*F$43-SUM(F$45:F48))))*$C$41/12</f>
        <v>7380.1238353765993</v>
      </c>
      <c r="G49" s="40">
        <f>IF((G$40-($C48*G$43-SUM(G$45:G48)))&lt;0,0,(G$40-($C48*G$43-SUM(G$45:G48))))*$C$41/12</f>
        <v>7829.2588376951135</v>
      </c>
      <c r="H49" s="40">
        <f>IF((H$40-($C48*H$43-SUM(H$45:H48)))&lt;0,0,(H$40-($C48*H$43-SUM(H$45:H48))))*$C$41/12</f>
        <v>9267.9634417099678</v>
      </c>
      <c r="I49" s="40">
        <f>IF((I$40-($C48*I$43-SUM(I$45:I48)))&lt;0,0,(I$40-($C48*I$43-SUM(I$45:I48))))*$C$41/12</f>
        <v>11204.539314390342</v>
      </c>
      <c r="J49" s="40">
        <f>IF((J$40-($C48*J$43-SUM(J$45:J48)))&lt;0,0,(J$40-($C48*J$43-SUM(J$45:J48))))*$C$41/12</f>
        <v>16702.418853749576</v>
      </c>
      <c r="K49" s="40">
        <f>IF((K$40-($C48*K$43-SUM(K$45:K48)))&lt;0,0,(K$40-($C48*K$43-SUM(K$45:K48))))*$C$41/12</f>
        <v>13570.715318671531</v>
      </c>
      <c r="L49" s="40">
        <f>IF((L$40-($C48*L$43-SUM(L$45:L48)))&lt;0,0,(L$40-($C48*L$43-SUM(L$45:L48))))*$C$41/12</f>
        <v>0</v>
      </c>
    </row>
    <row r="50" spans="2:12" hidden="1" outlineLevel="1">
      <c r="B50" s="26" t="s">
        <v>67</v>
      </c>
      <c r="C50" s="24">
        <v>6</v>
      </c>
      <c r="D50" s="40">
        <f>IF((D$40-($C49*D$43-SUM(D$45:D49)))&lt;0,0,(D$40-($C49*D$43-SUM(D$45:D49))))*$C$41/12</f>
        <v>5301.5833444749005</v>
      </c>
      <c r="E50" s="40">
        <f>IF((E$40-($C49*E$43-SUM(E$45:E49)))&lt;0,0,(E$40-($C49*E$43-SUM(E$45:E49))))*$C$41/12</f>
        <v>5301.5833444749005</v>
      </c>
      <c r="F50" s="40">
        <f>IF((F$40-($C49*F$43-SUM(F$45:F49)))&lt;0,0,(F$40-($C49*F$43-SUM(F$45:F49))))*$C$41/12</f>
        <v>7278.6900457423981</v>
      </c>
      <c r="G50" s="40">
        <f>IF((G$40-($C49*G$43-SUM(G$45:G49)))&lt;0,0,(G$40-($C49*G$43-SUM(G$45:G49))))*$C$41/12</f>
        <v>7721.6520533580124</v>
      </c>
      <c r="H50" s="40">
        <f>IF((H$40-($C49*H$43-SUM(H$45:H49)))&lt;0,0,(H$40-($C49*H$43-SUM(H$45:H49))))*$C$41/12</f>
        <v>9140.5828346830804</v>
      </c>
      <c r="I50" s="40">
        <f>IF((I$40-($C49*I$43-SUM(I$45:I49)))&lt;0,0,(I$40-($C49*I$43-SUM(I$45:I49))))*$C$41/12</f>
        <v>11050.542049694579</v>
      </c>
      <c r="J50" s="40">
        <f>IF((J$40-($C49*J$43-SUM(J$45:J49)))&lt;0,0,(J$40-($C49*J$43-SUM(J$45:J49))))*$C$41/12</f>
        <v>16472.857713830424</v>
      </c>
      <c r="K50" s="40">
        <f>IF((K$40-($C49*K$43-SUM(K$45:K49)))&lt;0,0,(K$40-($C49*K$43-SUM(K$45:K49))))*$C$41/12</f>
        <v>13384.196892487222</v>
      </c>
      <c r="L50" s="40">
        <f>IF((L$40-($C49*L$43-SUM(L$45:L49)))&lt;0,0,(L$40-($C49*L$43-SUM(L$45:L49))))*$C$41/12</f>
        <v>0</v>
      </c>
    </row>
    <row r="51" spans="2:12" hidden="1" outlineLevel="1">
      <c r="B51" s="26" t="s">
        <v>68</v>
      </c>
      <c r="C51" s="26">
        <v>7</v>
      </c>
      <c r="D51" s="40">
        <f>IF((D$40-($C50*D$43-SUM(D$45:D50)))&lt;0,0,(D$40-($C50*D$43-SUM(D$45:D50))))*$C$41/12</f>
        <v>5227.0247150919568</v>
      </c>
      <c r="E51" s="40">
        <f>IF((E$40-($C50*E$43-SUM(E$45:E50)))&lt;0,0,(E$40-($C50*E$43-SUM(E$45:E50))))*$C$41/12</f>
        <v>5227.0247150919568</v>
      </c>
      <c r="F51" s="40">
        <f>IF((F$40-($C50*F$43-SUM(F$45:F50)))&lt;0,0,(F$40-($C50*F$43-SUM(F$45:F50))))*$C$41/12</f>
        <v>7176.3264463698833</v>
      </c>
      <c r="G51" s="40">
        <f>IF((G$40-($C50*G$43-SUM(G$45:G50)))&lt;0,0,(G$40-($C50*G$43-SUM(G$45:G50))))*$C$41/12</f>
        <v>7613.0588734978201</v>
      </c>
      <c r="H51" s="40">
        <f>IF((H$40-($C50*H$43-SUM(H$45:H50)))&lt;0,0,(H$40-($C50*H$43-SUM(H$45:H50))))*$C$41/12</f>
        <v>9012.0345720917794</v>
      </c>
      <c r="I51" s="40">
        <f>IF((I$40-($C50*I$43-SUM(I$45:I50)))&lt;0,0,(I$40-($C50*I$43-SUM(I$45:I50))))*$C$41/12</f>
        <v>10895.13314340577</v>
      </c>
      <c r="J51" s="40">
        <f>IF((J$40-($C50*J$43-SUM(J$45:J50)))&lt;0,0,(J$40-($C50*J$43-SUM(J$45:J50))))*$C$41/12</f>
        <v>16241.192263462015</v>
      </c>
      <c r="K51" s="40">
        <f>IF((K$40-($C50*K$43-SUM(K$45:K50)))&lt;0,0,(K$40-($C50*K$43-SUM(K$45:K50))))*$C$41/12</f>
        <v>13195.968714062888</v>
      </c>
      <c r="L51" s="40">
        <f>IF((L$40-($C50*L$43-SUM(L$45:L50)))&lt;0,0,(L$40-($C50*L$43-SUM(L$45:L50))))*$C$41/12</f>
        <v>0</v>
      </c>
    </row>
    <row r="52" spans="2:12" hidden="1" outlineLevel="1">
      <c r="B52" s="26" t="s">
        <v>69</v>
      </c>
      <c r="C52" s="24">
        <v>8</v>
      </c>
      <c r="D52" s="40">
        <f>IF((D$40-($C51*D$43-SUM(D$45:D51)))&lt;0,0,(D$40-($C51*D$43-SUM(D$45:D51))))*$C$41/12</f>
        <v>5151.7826316063374</v>
      </c>
      <c r="E52" s="40">
        <f>IF((E$40-($C51*E$43-SUM(E$45:E51)))&lt;0,0,(E$40-($C51*E$43-SUM(E$45:E51))))*$C$41/12</f>
        <v>5151.7826316063374</v>
      </c>
      <c r="F52" s="40">
        <f>IF((F$40-($C51*F$43-SUM(F$45:F51)))&lt;0,0,(F$40-($C51*F$43-SUM(F$45:F51))))*$C$41/12</f>
        <v>7073.0245140031211</v>
      </c>
      <c r="G52" s="40">
        <f>IF((G$40-($C51*G$43-SUM(G$45:G51)))&lt;0,0,(G$40-($C51*G$43-SUM(G$45:G51))))*$C$41/12</f>
        <v>7503.470256155576</v>
      </c>
      <c r="H52" s="40">
        <f>IF((H$40-($C51*H$43-SUM(H$45:H51)))&lt;0,0,(H$40-($C51*H$43-SUM(H$45:H51))))*$C$41/12</f>
        <v>8882.3079504267243</v>
      </c>
      <c r="I52" s="40">
        <f>IF((I$40-($C51*I$43-SUM(I$45:I51)))&lt;0,0,(I$40-($C51*I$43-SUM(I$45:I51))))*$C$41/12</f>
        <v>10738.299655475979</v>
      </c>
      <c r="J52" s="40">
        <f>IF((J$40-($C51*J$43-SUM(J$45:J51)))&lt;0,0,(J$40-($C51*J$43-SUM(J$45:J51))))*$C$41/12</f>
        <v>16007.403213131895</v>
      </c>
      <c r="K52" s="40">
        <f>IF((K$40-($C51*K$43-SUM(K$45:K51)))&lt;0,0,(K$40-($C51*K$43-SUM(K$45:K51))))*$C$41/12</f>
        <v>13006.015110669665</v>
      </c>
      <c r="L52" s="40">
        <f>IF((L$40-($C51*L$43-SUM(L$45:L51)))&lt;0,0,(L$40-($C51*L$43-SUM(L$45:L51))))*$C$41/12</f>
        <v>0</v>
      </c>
    </row>
    <row r="53" spans="2:12" hidden="1" outlineLevel="1">
      <c r="B53" s="26" t="s">
        <v>70</v>
      </c>
      <c r="C53" s="26">
        <v>9</v>
      </c>
      <c r="D53" s="40">
        <f>IF((D$40-($C52*D$43-SUM(D$45:D52)))&lt;0,0,(D$40-($C52*D$43-SUM(D$45:D52))))*$C$41/12</f>
        <v>5075.850829022098</v>
      </c>
      <c r="E53" s="40">
        <f>IF((E$40-($C52*E$43-SUM(E$45:E52)))&lt;0,0,(E$40-($C52*E$43-SUM(E$45:E52))))*$C$41/12</f>
        <v>5075.850829022098</v>
      </c>
      <c r="F53" s="40">
        <f>IF((F$40-($C52*F$43-SUM(F$45:F52)))&lt;0,0,(F$40-($C52*F$43-SUM(F$45:F52))))*$C$41/12</f>
        <v>6968.7756472563296</v>
      </c>
      <c r="G53" s="40">
        <f>IF((G$40-($C52*G$43-SUM(G$45:G52)))&lt;0,0,(G$40-($C52*G$43-SUM(G$45:G52))))*$C$41/12</f>
        <v>7392.8770764876945</v>
      </c>
      <c r="H53" s="40">
        <f>IF((H$40-($C52*H$43-SUM(H$45:H52)))&lt;0,0,(H$40-($C52*H$43-SUM(H$45:H52))))*$C$41/12</f>
        <v>8751.3921680630756</v>
      </c>
      <c r="I53" s="40">
        <f>IF((I$40-($C52*I$43-SUM(I$45:I52)))&lt;0,0,(I$40-($C52*I$43-SUM(I$45:I52))))*$C$41/12</f>
        <v>10580.028527240169</v>
      </c>
      <c r="J53" s="40">
        <f>IF((J$40-($C52*J$43-SUM(J$45:J52)))&lt;0,0,(J$40-($C52*J$43-SUM(J$45:J52))))*$C$41/12</f>
        <v>15771.471096507083</v>
      </c>
      <c r="K53" s="40">
        <f>IF((K$40-($C52*K$43-SUM(K$45:K52)))&lt;0,0,(K$40-($C52*K$43-SUM(K$45:K52))))*$C$41/12</f>
        <v>12814.320265912005</v>
      </c>
      <c r="L53" s="40">
        <f>IF((L$40-($C52*L$43-SUM(L$45:L52)))&lt;0,0,(L$40-($C52*L$43-SUM(L$45:L52))))*$C$41/12</f>
        <v>0</v>
      </c>
    </row>
    <row r="54" spans="2:12" hidden="1" outlineLevel="1">
      <c r="B54" s="26" t="s">
        <v>71</v>
      </c>
      <c r="C54" s="24">
        <v>10</v>
      </c>
      <c r="D54" s="40">
        <f>IF((D$40-($C53*D$43-SUM(D$45:D53)))&lt;0,0,(D$40-($C53*D$43-SUM(D$45:D53))))*$C$41/12</f>
        <v>4999.2229849141704</v>
      </c>
      <c r="E54" s="40">
        <f>IF((E$40-($C53*E$43-SUM(E$45:E53)))&lt;0,0,(E$40-($C53*E$43-SUM(E$45:E53))))*$C$41/12</f>
        <v>4999.2229849141704</v>
      </c>
      <c r="F54" s="40">
        <f>IF((F$40-($C53*F$43-SUM(F$45:F53)))&lt;0,0,(F$40-($C53*F$43-SUM(F$45:F53))))*$C$41/12</f>
        <v>6863.5711658976916</v>
      </c>
      <c r="G54" s="40">
        <f>IF((G$40-($C53*G$43-SUM(G$45:G53)))&lt;0,0,(G$40-($C53*G$43-SUM(G$45:G53))))*$C$41/12</f>
        <v>7281.2701260061913</v>
      </c>
      <c r="H54" s="40">
        <f>IF((H$40-($C53*H$43-SUM(H$45:H53)))&lt;0,0,(H$40-($C53*H$43-SUM(H$45:H53))))*$C$41/12</f>
        <v>8619.2763243610898</v>
      </c>
      <c r="I54" s="40">
        <f>IF((I$40-($C53*I$43-SUM(I$45:I53)))&lt;0,0,(I$40-($C53*I$43-SUM(I$45:I53))))*$C$41/12</f>
        <v>10420.306580328861</v>
      </c>
      <c r="J54" s="40">
        <f>IF((J$40-($C53*J$43-SUM(J$45:J53)))&lt;0,0,(J$40-($C53*J$43-SUM(J$45:J53))))*$C$41/12</f>
        <v>15533.37626881321</v>
      </c>
      <c r="K54" s="40">
        <f>IF((K$40-($C53*K$43-SUM(K$45:K53)))&lt;0,0,(K$40-($C53*K$43-SUM(K$45:K53))))*$C$41/12</f>
        <v>12620.868218410733</v>
      </c>
      <c r="L54" s="40">
        <f>IF((L$40-($C53*L$43-SUM(L$45:L53)))&lt;0,0,(L$40-($C53*L$43-SUM(L$45:L53))))*$C$41/12</f>
        <v>0</v>
      </c>
    </row>
    <row r="55" spans="2:12" hidden="1" outlineLevel="1">
      <c r="B55" s="26" t="s">
        <v>72</v>
      </c>
      <c r="C55" s="26">
        <v>11</v>
      </c>
      <c r="D55" s="40">
        <f>IF((D$40-($C54*D$43-SUM(D$45:D54)))&lt;0,0,(D$40-($C54*D$43-SUM(D$45:D54))))*$C$41/12</f>
        <v>4921.8927189019205</v>
      </c>
      <c r="E55" s="40">
        <f>IF((E$40-($C54*E$43-SUM(E$45:E54)))&lt;0,0,(E$40-($C54*E$43-SUM(E$45:E54))))*$C$41/12</f>
        <v>4921.8927189019205</v>
      </c>
      <c r="F55" s="40">
        <f>IF((F$40-($C54*F$43-SUM(F$45:F54)))&lt;0,0,(F$40-($C54*F$43-SUM(F$45:F54))))*$C$41/12</f>
        <v>6757.4023101266021</v>
      </c>
      <c r="G55" s="40">
        <f>IF((G$40-($C54*G$43-SUM(G$45:G54)))&lt;0,0,(G$40-($C54*G$43-SUM(G$45:G54))))*$C$41/12</f>
        <v>7168.640111811942</v>
      </c>
      <c r="H55" s="40">
        <f>IF((H$40-($C54*H$43-SUM(H$45:H54)))&lt;0,0,(H$40-($C54*H$43-SUM(H$45:H54))))*$C$41/12</f>
        <v>8485.9494187585024</v>
      </c>
      <c r="I55" s="40">
        <f>IF((I$40-($C54*I$43-SUM(I$45:I54)))&lt;0,0,(I$40-($C54*I$43-SUM(I$45:I54))))*$C$41/12</f>
        <v>10259.120515570869</v>
      </c>
      <c r="J55" s="40">
        <f>IF((J$40-($C54*J$43-SUM(J$45:J54)))&lt;0,0,(J$40-($C54*J$43-SUM(J$45:J54))))*$C$41/12</f>
        <v>15293.098905198807</v>
      </c>
      <c r="K55" s="40">
        <f>IF((K$40-($C54*K$43-SUM(K$45:K54)))&lt;0,0,(K$40-($C54*K$43-SUM(K$45:K54))))*$C$41/12</f>
        <v>12425.64286047403</v>
      </c>
      <c r="L55" s="40">
        <f>IF((L$40-($C54*L$43-SUM(L$45:L54)))&lt;0,0,(L$40-($C54*L$43-SUM(L$45:L54))))*$C$41/12</f>
        <v>0</v>
      </c>
    </row>
    <row r="56" spans="2:12" hidden="1" outlineLevel="1">
      <c r="B56" s="26" t="s">
        <v>73</v>
      </c>
      <c r="C56" s="24">
        <v>12</v>
      </c>
      <c r="D56" s="40">
        <f>IF((D$40-($C55*D$43-SUM(D$45:D55)))&lt;0,0,(D$40-($C55*D$43-SUM(D$45:D55))))*$C$41/12</f>
        <v>4843.8535921178927</v>
      </c>
      <c r="E56" s="40">
        <f>IF((E$40-($C55*E$43-SUM(E$45:E55)))&lt;0,0,(E$40-($C55*E$43-SUM(E$45:E55))))*$C$41/12</f>
        <v>4843.8535921178927</v>
      </c>
      <c r="F56" s="40">
        <f>IF((F$40-($C55*F$43-SUM(F$45:F55)))&lt;0,0,(F$40-($C55*F$43-SUM(F$45:F55))))*$C$41/12</f>
        <v>6650.2602398442759</v>
      </c>
      <c r="G56" s="40">
        <f>IF((G$40-($C55*G$43-SUM(G$45:G55)))&lt;0,0,(G$40-($C55*G$43-SUM(G$45:G55))))*$C$41/12</f>
        <v>7054.9776558209096</v>
      </c>
      <c r="H56" s="40">
        <f>IF((H$40-($C55*H$43-SUM(H$45:H55)))&lt;0,0,(H$40-($C55*H$43-SUM(H$45:H55))))*$C$41/12</f>
        <v>8351.4003498545608</v>
      </c>
      <c r="I56" s="40">
        <f>IF((I$40-($C55*I$43-SUM(I$45:I55)))&lt;0,0,(I$40-($C55*I$43-SUM(I$45:I55))))*$C$41/12</f>
        <v>10096.456911885924</v>
      </c>
      <c r="J56" s="40">
        <f>IF((J$40-($C55*J$43-SUM(J$45:J55)))&lt;0,0,(J$40-($C55*J$43-SUM(J$45:J55))))*$C$41/12</f>
        <v>15050.618999084609</v>
      </c>
      <c r="K56" s="40">
        <f>IF((K$40-($C55*K$43-SUM(K$45:K55)))&lt;0,0,(K$40-($C55*K$43-SUM(K$45:K55))))*$C$41/12</f>
        <v>12228.627936756244</v>
      </c>
      <c r="L56" s="40">
        <f>IF((L$40-($C55*L$43-SUM(L$45:L55)))&lt;0,0,(L$40-($C55*L$43-SUM(L$45:L55))))*$C$41/12</f>
        <v>0</v>
      </c>
    </row>
    <row r="57" spans="2:12" hidden="1" outlineLevel="1">
      <c r="B57" s="26" t="s">
        <v>74</v>
      </c>
      <c r="C57" s="26">
        <v>13</v>
      </c>
      <c r="D57" s="40">
        <f>IF((D$40-($C56*D$43-SUM(D$45:D56)))&lt;0,0,(D$40-($C56*D$43-SUM(D$45:D56))))*$C$41/12</f>
        <v>4765.0991066716761</v>
      </c>
      <c r="E57" s="40">
        <f>IF((E$40-($C56*E$43-SUM(E$45:E56)))&lt;0,0,(E$40-($C56*E$43-SUM(E$45:E56))))*$C$41/12</f>
        <v>4765.0991066716761</v>
      </c>
      <c r="F57" s="40">
        <f>IF((F$40-($C56*F$43-SUM(F$45:F56)))&lt;0,0,(F$40-($C56*F$43-SUM(F$45:F56))))*$C$41/12</f>
        <v>6542.1360339176945</v>
      </c>
      <c r="G57" s="40">
        <f>IF((G$40-($C56*G$43-SUM(G$45:G56)))&lt;0,0,(G$40-($C56*G$43-SUM(G$45:G56))))*$C$41/12</f>
        <v>6940.273293983294</v>
      </c>
      <c r="H57" s="40">
        <f>IF((H$40-($C56*H$43-SUM(H$45:H56)))&lt;0,0,(H$40-($C56*H$43-SUM(H$45:H56))))*$C$41/12</f>
        <v>8215.6179144856633</v>
      </c>
      <c r="I57" s="40">
        <f>IF((I$40-($C56*I$43-SUM(I$45:I56)))&lt;0,0,(I$40-($C56*I$43-SUM(I$45:I56))))*$C$41/12</f>
        <v>9932.3022251672028</v>
      </c>
      <c r="J57" s="40">
        <f>IF((J$40-($C56*J$43-SUM(J$45:J56)))&lt;0,0,(J$40-($C56*J$43-SUM(J$45:J56))))*$C$41/12</f>
        <v>14805.916360497695</v>
      </c>
      <c r="K57" s="40">
        <f>IF((K$40-($C56*K$43-SUM(K$45:K56)))&lt;0,0,(K$40-($C56*K$43-SUM(K$45:K56))))*$C$41/12</f>
        <v>12029.807042904378</v>
      </c>
      <c r="L57" s="40">
        <f>IF((L$40-($C56*L$43-SUM(L$45:L56)))&lt;0,0,(L$40-($C56*L$43-SUM(L$45:L56))))*$C$41/12</f>
        <v>0</v>
      </c>
    </row>
    <row r="58" spans="2:12" hidden="1" outlineLevel="1">
      <c r="B58" s="26" t="s">
        <v>75</v>
      </c>
      <c r="C58" s="24">
        <v>14</v>
      </c>
      <c r="D58" s="40">
        <f>IF((D$40-($C57*D$43-SUM(D$45:D57)))&lt;0,0,(D$40-($C57*D$43-SUM(D$45:D57))))*$C$41/12</f>
        <v>4685.6227051088708</v>
      </c>
      <c r="E58" s="40">
        <f>IF((E$40-($C57*E$43-SUM(E$45:E57)))&lt;0,0,(E$40-($C57*E$43-SUM(E$45:E57))))*$C$41/12</f>
        <v>4685.6227051088708</v>
      </c>
      <c r="F58" s="40">
        <f>IF((F$40-($C57*F$43-SUM(F$45:F57)))&lt;0,0,(F$40-($C57*F$43-SUM(F$45:F57))))*$C$41/12</f>
        <v>6433.0206894367875</v>
      </c>
      <c r="G58" s="40">
        <f>IF((G$40-($C57*G$43-SUM(G$45:G57)))&lt;0,0,(G$40-($C57*G$43-SUM(G$45:G57))))*$C$41/12</f>
        <v>6824.5174754955005</v>
      </c>
      <c r="H58" s="40">
        <f>IF((H$40-($C57*H$43-SUM(H$45:H57)))&lt;0,0,(H$40-($C57*H$43-SUM(H$45:H57))))*$C$41/12</f>
        <v>8078.5908067925529</v>
      </c>
      <c r="I58" s="40">
        <f>IF((I$40-($C57*I$43-SUM(I$45:I57)))&lt;0,0,(I$40-($C57*I$43-SUM(I$45:I57))))*$C$41/12</f>
        <v>9766.6427871535616</v>
      </c>
      <c r="J58" s="40">
        <f>IF((J$40-($C57*J$43-SUM(J$45:J57)))&lt;0,0,(J$40-($C57*J$43-SUM(J$45:J57))))*$C$41/12</f>
        <v>14558.970614390402</v>
      </c>
      <c r="K58" s="40">
        <f>IF((K$40-($C57*K$43-SUM(K$45:K57)))&lt;0,0,(K$40-($C57*K$43-SUM(K$45:K57))))*$C$41/12</f>
        <v>11829.163624192202</v>
      </c>
      <c r="L58" s="40">
        <f>IF((L$40-($C57*L$43-SUM(L$45:L57)))&lt;0,0,(L$40-($C57*L$43-SUM(L$45:L57))))*$C$41/12</f>
        <v>0</v>
      </c>
    </row>
    <row r="59" spans="2:12" hidden="1" outlineLevel="1">
      <c r="B59" s="26" t="s">
        <v>76</v>
      </c>
      <c r="C59" s="26">
        <v>15</v>
      </c>
      <c r="D59" s="40">
        <f>IF((D$40-($C58*D$43-SUM(D$45:D58)))&lt;0,0,(D$40-($C58*D$43-SUM(D$45:D58))))*$C$41/12</f>
        <v>4605.4177698650719</v>
      </c>
      <c r="E59" s="40">
        <f>IF((E$40-($C58*E$43-SUM(E$45:E58)))&lt;0,0,(E$40-($C58*E$43-SUM(E$45:E58))))*$C$41/12</f>
        <v>4605.4177698650719</v>
      </c>
      <c r="F59" s="40">
        <f>IF((F$40-($C58*F$43-SUM(F$45:F58)))&lt;0,0,(F$40-($C58*F$43-SUM(F$45:F58))))*$C$41/12</f>
        <v>6322.9051209648051</v>
      </c>
      <c r="G59" s="40">
        <f>IF((G$40-($C58*G$43-SUM(G$45:G58)))&lt;0,0,(G$40-($C58*G$43-SUM(G$45:G58))))*$C$41/12</f>
        <v>6707.7005620049031</v>
      </c>
      <c r="H59" s="40">
        <f>IF((H$40-($C58*H$43-SUM(H$45:H58)))&lt;0,0,(H$40-($C58*H$43-SUM(H$45:H58))))*$C$41/12</f>
        <v>7940.3076172789224</v>
      </c>
      <c r="I59" s="40">
        <f>IF((I$40-($C58*I$43-SUM(I$45:I58)))&lt;0,0,(I$40-($C58*I$43-SUM(I$45:I58))))*$C$41/12</f>
        <v>9599.4648042914614</v>
      </c>
      <c r="J59" s="40">
        <f>IF((J$40-($C58*J$43-SUM(J$45:J58)))&lt;0,0,(J$40-($C58*J$43-SUM(J$45:J58))))*$C$41/12</f>
        <v>14309.761198943788</v>
      </c>
      <c r="K59" s="40">
        <f>IF((K$40-($C58*K$43-SUM(K$45:K58)))&lt;0,0,(K$40-($C58*K$43-SUM(K$45:K58))))*$C$41/12</f>
        <v>11626.680974141831</v>
      </c>
      <c r="L59" s="40">
        <f>IF((L$40-($C58*L$43-SUM(L$45:L58)))&lt;0,0,(L$40-($C58*L$43-SUM(L$45:L58))))*$C$41/12</f>
        <v>0</v>
      </c>
    </row>
    <row r="60" spans="2:12" hidden="1" outlineLevel="1">
      <c r="B60" s="26" t="s">
        <v>77</v>
      </c>
      <c r="C60" s="24">
        <v>16</v>
      </c>
      <c r="D60" s="40">
        <f>IF((D$40-($C59*D$43-SUM(D$45:D59)))&lt;0,0,(D$40-($C59*D$43-SUM(D$45:D59))))*$C$41/12</f>
        <v>4524.4776227148723</v>
      </c>
      <c r="E60" s="40">
        <f>IF((E$40-($C59*E$43-SUM(E$45:E59)))&lt;0,0,(E$40-($C59*E$43-SUM(E$45:E59))))*$C$41/12</f>
        <v>4524.4776227148723</v>
      </c>
      <c r="F60" s="40">
        <f>IF((F$40-($C59*F$43-SUM(F$45:F59)))&lt;0,0,(F$40-($C59*F$43-SUM(F$45:F59))))*$C$41/12</f>
        <v>6211.7801597818279</v>
      </c>
      <c r="G60" s="40">
        <f>IF((G$40-($C59*G$43-SUM(G$45:G59)))&lt;0,0,(G$40-($C59*G$43-SUM(G$45:G59))))*$C$41/12</f>
        <v>6589.812826807306</v>
      </c>
      <c r="H60" s="40">
        <f>IF((H$40-($C59*H$43-SUM(H$45:H59)))&lt;0,0,(H$40-($C59*H$43-SUM(H$45:H59))))*$C$41/12</f>
        <v>7800.7568318614167</v>
      </c>
      <c r="I60" s="40">
        <f>IF((I$40-($C59*I$43-SUM(I$45:I59)))&lt;0,0,(I$40-($C59*I$43-SUM(I$45:I59))))*$C$41/12</f>
        <v>9430.7543565864562</v>
      </c>
      <c r="J60" s="40">
        <f>IF((J$40-($C59*J$43-SUM(J$45:J59)))&lt;0,0,(J$40-($C59*J$43-SUM(J$45:J59))))*$C$41/12</f>
        <v>14058.267363855586</v>
      </c>
      <c r="K60" s="40">
        <f>IF((K$40-($C59*K$43-SUM(K$45:K59)))&lt;0,0,(K$40-($C59*K$43-SUM(K$45:K59))))*$C$41/12</f>
        <v>11422.342233132666</v>
      </c>
      <c r="L60" s="40">
        <f>IF((L$40-($C59*L$43-SUM(L$45:L59)))&lt;0,0,(L$40-($C59*L$43-SUM(L$45:L59))))*$C$41/12</f>
        <v>0</v>
      </c>
    </row>
    <row r="61" spans="2:12" hidden="1" outlineLevel="1">
      <c r="B61" s="26" t="s">
        <v>78</v>
      </c>
      <c r="C61" s="26">
        <v>17</v>
      </c>
      <c r="D61" s="40">
        <f>IF((D$40-($C60*D$43-SUM(D$45:D60)))&lt;0,0,(D$40-($C60*D$43-SUM(D$45:D60))))*$C$41/12</f>
        <v>4442.795524215795</v>
      </c>
      <c r="E61" s="40">
        <f>IF((E$40-($C60*E$43-SUM(E$45:E60)))&lt;0,0,(E$40-($C60*E$43-SUM(E$45:E60))))*$C$41/12</f>
        <v>4442.795524215795</v>
      </c>
      <c r="F61" s="40">
        <f>IF((F$40-($C60*F$43-SUM(F$45:F60)))&lt;0,0,(F$40-($C60*F$43-SUM(F$45:F60))))*$C$41/12</f>
        <v>6099.6365531213423</v>
      </c>
      <c r="G61" s="40">
        <f>IF((G$40-($C60*G$43-SUM(G$45:G60)))&lt;0,0,(G$40-($C60*G$43-SUM(G$45:G60))))*$C$41/12</f>
        <v>6470.8444540370656</v>
      </c>
      <c r="H61" s="40">
        <f>IF((H$40-($C60*H$43-SUM(H$45:H60)))&lt;0,0,(H$40-($C60*H$43-SUM(H$45:H60))))*$C$41/12</f>
        <v>7659.9268309109175</v>
      </c>
      <c r="I61" s="40">
        <f>IF((I$40-($C60*I$43-SUM(I$45:I60)))&lt;0,0,(I$40-($C60*I$43-SUM(I$45:I60))))*$C$41/12</f>
        <v>9260.497396444156</v>
      </c>
      <c r="J61" s="40">
        <f>IF((J$40-($C60*J$43-SUM(J$45:J60)))&lt;0,0,(J$40-($C60*J$43-SUM(J$45:J60))))*$C$41/12</f>
        <v>13804.468168612408</v>
      </c>
      <c r="K61" s="40">
        <f>IF((K$40-($C60*K$43-SUM(K$45:K60)))&lt;0,0,(K$40-($C60*K$43-SUM(K$45:K60))))*$C$41/12</f>
        <v>11216.130386997582</v>
      </c>
      <c r="L61" s="40">
        <f>IF((L$40-($C60*L$43-SUM(L$45:L60)))&lt;0,0,(L$40-($C60*L$43-SUM(L$45:L60))))*$C$41/12</f>
        <v>0</v>
      </c>
    </row>
    <row r="62" spans="2:12" hidden="1" outlineLevel="1">
      <c r="B62" s="26" t="s">
        <v>79</v>
      </c>
      <c r="C62" s="24">
        <v>18</v>
      </c>
      <c r="D62" s="40">
        <f>IF((D$40-($C61*D$43-SUM(D$45:D61)))&lt;0,0,(D$40-($C61*D$43-SUM(D$45:D61))))*$C$41/12</f>
        <v>4360.3646731471435</v>
      </c>
      <c r="E62" s="40">
        <f>IF((E$40-($C61*E$43-SUM(E$45:E61)))&lt;0,0,(E$40-($C61*E$43-SUM(E$45:E61))))*$C$41/12</f>
        <v>4360.3646731471435</v>
      </c>
      <c r="F62" s="40">
        <f>IF((F$40-($C61*F$43-SUM(F$45:F61)))&lt;0,0,(F$40-($C61*F$43-SUM(F$45:F61))))*$C$41/12</f>
        <v>5986.4649633998006</v>
      </c>
      <c r="G62" s="40">
        <f>IF((G$40-($C61*G$43-SUM(G$45:G61)))&lt;0,0,(G$40-($C61*G$43-SUM(G$45:G61))))*$C$41/12</f>
        <v>6350.7855378497652</v>
      </c>
      <c r="H62" s="40">
        <f>IF((H$40-($C61*H$43-SUM(H$45:H61)))&lt;0,0,(H$40-($C61*H$43-SUM(H$45:H61))))*$C$41/12</f>
        <v>7517.8058882850391</v>
      </c>
      <c r="I62" s="40">
        <f>IF((I$40-($C61*I$43-SUM(I$45:I61)))&lt;0,0,(I$40-($C61*I$43-SUM(I$45:I61))))*$C$41/12</f>
        <v>9088.6797475005533</v>
      </c>
      <c r="J62" s="40">
        <f>IF((J$40-($C61*J$43-SUM(J$45:J61)))&lt;0,0,(J$40-($C61*J$43-SUM(J$45:J61))))*$C$41/12</f>
        <v>13548.342480746165</v>
      </c>
      <c r="K62" s="40">
        <f>IF((K$40-($C61*K$43-SUM(K$45:K61)))&lt;0,0,(K$40-($C61*K$43-SUM(K$45:K61))))*$C$41/12</f>
        <v>11008.028265606261</v>
      </c>
      <c r="L62" s="40">
        <f>IF((L$40-($C61*L$43-SUM(L$45:L61)))&lt;0,0,(L$40-($C61*L$43-SUM(L$45:L61))))*$C$41/12</f>
        <v>0</v>
      </c>
    </row>
    <row r="63" spans="2:12" hidden="1" outlineLevel="1">
      <c r="B63" s="26" t="s">
        <v>80</v>
      </c>
      <c r="C63" s="26">
        <v>19</v>
      </c>
      <c r="D63" s="40">
        <f>IF((D$40-($C62*D$43-SUM(D$45:D62)))&lt;0,0,(D$40-($C62*D$43-SUM(D$45:D62))))*$C$41/12</f>
        <v>4277.1782059436964</v>
      </c>
      <c r="E63" s="40">
        <f>IF((E$40-($C62*E$43-SUM(E$45:E62)))&lt;0,0,(E$40-($C62*E$43-SUM(E$45:E62))))*$C$41/12</f>
        <v>4277.1782059436964</v>
      </c>
      <c r="F63" s="40">
        <f>IF((F$40-($C62*F$43-SUM(F$45:F62)))&lt;0,0,(F$40-($C62*F$43-SUM(F$45:F62))))*$C$41/12</f>
        <v>5872.255967439145</v>
      </c>
      <c r="G63" s="40">
        <f>IF((G$40-($C62*G$43-SUM(G$45:G62)))&lt;0,0,(G$40-($C62*G$43-SUM(G$45:G62))))*$C$41/12</f>
        <v>6229.6260815974138</v>
      </c>
      <c r="H63" s="40">
        <f>IF((H$40-($C62*H$43-SUM(H$45:H62)))&lt;0,0,(H$40-($C62*H$43-SUM(H$45:H62))))*$C$41/12</f>
        <v>7374.382170351756</v>
      </c>
      <c r="I63" s="40">
        <f>IF((I$40-($C62*I$43-SUM(I$45:I62)))&lt;0,0,(I$40-($C62*I$43-SUM(I$45:I62))))*$C$41/12</f>
        <v>8915.287103441633</v>
      </c>
      <c r="J63" s="40">
        <f>IF((J$40-($C62*J$43-SUM(J$45:J62)))&lt;0,0,(J$40-($C62*J$43-SUM(J$45:J62))))*$C$41/12</f>
        <v>13289.868974074481</v>
      </c>
      <c r="K63" s="40">
        <f>IF((K$40-($C62*K$43-SUM(K$45:K62)))&lt;0,0,(K$40-($C62*K$43-SUM(K$45:K62))))*$C$41/12</f>
        <v>10798.018541435518</v>
      </c>
      <c r="L63" s="40">
        <f>IF((L$40-($C62*L$43-SUM(L$45:L62)))&lt;0,0,(L$40-($C62*L$43-SUM(L$45:L62))))*$C$41/12</f>
        <v>0</v>
      </c>
    </row>
    <row r="64" spans="2:12" hidden="1" outlineLevel="1">
      <c r="B64" s="26" t="s">
        <v>81</v>
      </c>
      <c r="C64" s="24">
        <v>20</v>
      </c>
      <c r="D64" s="40">
        <f>IF((D$40-($C63*D$43-SUM(D$45:D63)))&lt;0,0,(D$40-($C63*D$43-SUM(D$45:D63))))*$C$41/12</f>
        <v>4193.2291961242172</v>
      </c>
      <c r="E64" s="40">
        <f>IF((E$40-($C63*E$43-SUM(E$45:E63)))&lt;0,0,(E$40-($C63*E$43-SUM(E$45:E63))))*$C$41/12</f>
        <v>4193.2291961242172</v>
      </c>
      <c r="F64" s="40">
        <f>IF((F$40-($C63*F$43-SUM(F$45:F63)))&lt;0,0,(F$40-($C63*F$43-SUM(F$45:F63))))*$C$41/12</f>
        <v>5757.0000556821842</v>
      </c>
      <c r="G64" s="40">
        <f>IF((G$40-($C63*G$43-SUM(G$45:G63)))&lt;0,0,(G$40-($C63*G$43-SUM(G$45:G63))))*$C$41/12</f>
        <v>6107.3559969960843</v>
      </c>
      <c r="H64" s="40">
        <f>IF((H$40-($C63*H$43-SUM(H$45:H63)))&lt;0,0,(H$40-($C63*H$43-SUM(H$45:H63))))*$C$41/12</f>
        <v>7229.6437350040842</v>
      </c>
      <c r="I64" s="40">
        <f>IF((I$40-($C63*I$43-SUM(I$45:I63)))&lt;0,0,(I$40-($C63*I$43-SUM(I$45:I63))))*$C$41/12</f>
        <v>8740.3050268121715</v>
      </c>
      <c r="J64" s="40">
        <f>IF((J$40-($C63*J$43-SUM(J$45:J63)))&lt;0,0,(J$40-($C63*J$43-SUM(J$45:J63))))*$C$41/12</f>
        <v>13029.026126924977</v>
      </c>
      <c r="K64" s="40">
        <f>IF((K$40-($C63*K$43-SUM(K$45:K63)))&lt;0,0,(K$40-($C63*K$43-SUM(K$45:K63))))*$C$41/12</f>
        <v>10586.083728126545</v>
      </c>
      <c r="L64" s="40">
        <f>IF((L$40-($C63*L$43-SUM(L$45:L63)))&lt;0,0,(L$40-($C63*L$43-SUM(L$45:L63))))*$C$41/12</f>
        <v>0</v>
      </c>
    </row>
    <row r="65" spans="2:12" hidden="1" outlineLevel="1">
      <c r="B65" s="26" t="s">
        <v>82</v>
      </c>
      <c r="C65" s="26">
        <v>21</v>
      </c>
      <c r="D65" s="40">
        <f>IF((D$40-($C64*D$43-SUM(D$45:D64)))&lt;0,0,(D$40-($C64*D$43-SUM(D$45:D64))))*$C$41/12</f>
        <v>4108.5106537147258</v>
      </c>
      <c r="E65" s="40">
        <f>IF((E$40-($C64*E$43-SUM(E$45:E64)))&lt;0,0,(E$40-($C64*E$43-SUM(E$45:E64))))*$C$41/12</f>
        <v>4108.5106537147258</v>
      </c>
      <c r="F65" s="40">
        <f>IF((F$40-($C64*F$43-SUM(F$45:F64)))&lt;0,0,(F$40-($C64*F$43-SUM(F$45:F64))))*$C$41/12</f>
        <v>5640.6876314007832</v>
      </c>
      <c r="G65" s="40">
        <f>IF((G$40-($C64*G$43-SUM(G$45:G64)))&lt;0,0,(G$40-($C64*G$43-SUM(G$45:G64))))*$C$41/12</f>
        <v>5983.9651032859074</v>
      </c>
      <c r="H65" s="40">
        <f>IF((H$40-($C64*H$43-SUM(H$45:H64)))&lt;0,0,(H$40-($C64*H$43-SUM(H$45:H64))))*$C$41/12</f>
        <v>7083.5785306657244</v>
      </c>
      <c r="I65" s="40">
        <f>IF((I$40-($C64*I$43-SUM(I$45:I64)))&lt;0,0,(I$40-($C64*I$43-SUM(I$45:I64))))*$C$41/12</f>
        <v>8563.7189478136079</v>
      </c>
      <c r="J65" s="40">
        <f>IF((J$40-($C64*J$43-SUM(J$45:J64)))&lt;0,0,(J$40-($C64*J$43-SUM(J$45:J64))))*$C$41/12</f>
        <v>12765.792220343266</v>
      </c>
      <c r="K65" s="40">
        <f>IF((K$40-($C64*K$43-SUM(K$45:K64)))&lt;0,0,(K$40-($C64*K$43-SUM(K$45:K64))))*$C$41/12</f>
        <v>10372.206179028903</v>
      </c>
      <c r="L65" s="40">
        <f>IF((L$40-($C64*L$43-SUM(L$45:L64)))&lt;0,0,(L$40-($C64*L$43-SUM(L$45:L64))))*$C$41/12</f>
        <v>0</v>
      </c>
    </row>
    <row r="66" spans="2:12" hidden="1" outlineLevel="1">
      <c r="B66" s="26" t="s">
        <v>83</v>
      </c>
      <c r="C66" s="24">
        <v>22</v>
      </c>
      <c r="D66" s="40">
        <f>IF((D$40-($C65*D$43-SUM(D$45:D65)))&lt;0,0,(D$40-($C65*D$43-SUM(D$45:D65))))*$C$41/12</f>
        <v>4023.0155246664813</v>
      </c>
      <c r="E66" s="40">
        <f>IF((E$40-($C65*E$43-SUM(E$45:E65)))&lt;0,0,(E$40-($C65*E$43-SUM(E$45:E65))))*$C$41/12</f>
        <v>4023.0155246664813</v>
      </c>
      <c r="F66" s="40">
        <f>IF((F$40-($C65*F$43-SUM(F$45:F65)))&lt;0,0,(F$40-($C65*F$43-SUM(F$45:F65))))*$C$41/12</f>
        <v>5523.309009896805</v>
      </c>
      <c r="G66" s="40">
        <f>IF((G$40-($C65*G$43-SUM(G$45:G65)))&lt;0,0,(G$40-($C65*G$43-SUM(G$45:G65))))*$C$41/12</f>
        <v>5859.4431263833867</v>
      </c>
      <c r="H66" s="40">
        <f>IF((H$40-($C65*H$43-SUM(H$45:H65)))&lt;0,0,(H$40-($C65*H$43-SUM(H$45:H65))))*$C$41/12</f>
        <v>6936.1743952875986</v>
      </c>
      <c r="I66" s="40">
        <f>IF((I$40-($C65*I$43-SUM(I$45:I65)))&lt;0,0,(I$40-($C65*I$43-SUM(I$45:I65))))*$C$41/12</f>
        <v>8385.5141630908911</v>
      </c>
      <c r="J66" s="40">
        <f>IF((J$40-($C65*J$43-SUM(J$45:J65)))&lt;0,0,(J$40-($C65*J$43-SUM(J$45:J65))))*$C$41/12</f>
        <v>12500.145336284557</v>
      </c>
      <c r="K66" s="40">
        <f>IF((K$40-($C65*K$43-SUM(K$45:K65)))&lt;0,0,(K$40-($C65*K$43-SUM(K$45:K65))))*$C$41/12</f>
        <v>10156.368085731205</v>
      </c>
      <c r="L66" s="40">
        <f>IF((L$40-($C65*L$43-SUM(L$45:L65)))&lt;0,0,(L$40-($C65*L$43-SUM(L$45:L65))))*$C$41/12</f>
        <v>0</v>
      </c>
    </row>
    <row r="67" spans="2:12" hidden="1" outlineLevel="1">
      <c r="B67" s="26" t="s">
        <v>84</v>
      </c>
      <c r="C67" s="26">
        <v>23</v>
      </c>
      <c r="D67" s="40">
        <f>IF((D$40-($C66*D$43-SUM(D$45:D66)))&lt;0,0,(D$40-($C66*D$43-SUM(D$45:D66))))*$C$41/12</f>
        <v>3936.7366902686276</v>
      </c>
      <c r="E67" s="40">
        <f>IF((E$40-($C66*E$43-SUM(E$45:E66)))&lt;0,0,(E$40-($C66*E$43-SUM(E$45:E66))))*$C$41/12</f>
        <v>3936.7366902686276</v>
      </c>
      <c r="F67" s="40">
        <f>IF((F$40-($C66*F$43-SUM(F$45:F66)))&lt;0,0,(F$40-($C66*F$43-SUM(F$45:F66))))*$C$41/12</f>
        <v>5404.8544176957057</v>
      </c>
      <c r="G67" s="40">
        <f>IF((G$40-($C66*G$43-SUM(G$45:G66)))&lt;0,0,(G$40-($C66*G$43-SUM(G$45:G66))))*$C$41/12</f>
        <v>5733.7796980259263</v>
      </c>
      <c r="H67" s="40">
        <f>IF((H$40-($C66*H$43-SUM(H$45:H66)))&lt;0,0,(H$40-($C66*H$43-SUM(H$45:H66))))*$C$41/12</f>
        <v>6787.4190553351718</v>
      </c>
      <c r="I67" s="40">
        <f>IF((I$40-($C66*I$43-SUM(I$45:I66)))&lt;0,0,(I$40-($C66*I$43-SUM(I$45:I66))))*$C$41/12</f>
        <v>8205.6758345082144</v>
      </c>
      <c r="J67" s="40">
        <f>IF((J$40-($C66*J$43-SUM(J$45:J66)))&lt;0,0,(J$40-($C66*J$43-SUM(J$45:J66))))*$C$41/12</f>
        <v>12232.063355788645</v>
      </c>
      <c r="K67" s="40">
        <f>IF((K$40-($C66*K$43-SUM(K$45:K66)))&lt;0,0,(K$40-($C66*K$43-SUM(K$45:K66))))*$C$41/12</f>
        <v>9938.5514765782737</v>
      </c>
      <c r="L67" s="40">
        <f>IF((L$40-($C66*L$43-SUM(L$45:L66)))&lt;0,0,(L$40-($C66*L$43-SUM(L$45:L66))))*$C$41/12</f>
        <v>0</v>
      </c>
    </row>
    <row r="68" spans="2:12" hidden="1" outlineLevel="1">
      <c r="B68" s="26" t="s">
        <v>85</v>
      </c>
      <c r="C68" s="24">
        <v>24</v>
      </c>
      <c r="D68" s="40">
        <f>IF((D$40-($C67*D$43-SUM(D$45:D67)))&lt;0,0,(D$40-($C67*D$43-SUM(D$45:D67))))*$C$41/12</f>
        <v>3849.66696655546</v>
      </c>
      <c r="E68" s="40">
        <f>IF((E$40-($C67*E$43-SUM(E$45:E67)))&lt;0,0,(E$40-($C67*E$43-SUM(E$45:E67))))*$C$41/12</f>
        <v>3849.66696655546</v>
      </c>
      <c r="F68" s="40">
        <f>IF((F$40-($C67*F$43-SUM(F$45:F67)))&lt;0,0,(F$40-($C67*F$43-SUM(F$45:F67))))*$C$41/12</f>
        <v>5285.3139917327626</v>
      </c>
      <c r="G68" s="40">
        <f>IF((G$40-($C67*G$43-SUM(G$45:G67)))&lt;0,0,(G$40-($C67*G$43-SUM(G$45:G67))))*$C$41/12</f>
        <v>5606.964354908524</v>
      </c>
      <c r="H68" s="40">
        <f>IF((H$40-($C67*H$43-SUM(H$45:H67)))&lt;0,0,(H$40-($C67*H$43-SUM(H$45:H67))))*$C$41/12</f>
        <v>6637.3001247665152</v>
      </c>
      <c r="I68" s="40">
        <f>IF((I$40-($C67*I$43-SUM(I$45:I67)))&lt;0,0,(I$40-($C67*I$43-SUM(I$45:I67))))*$C$41/12</f>
        <v>8024.1889879135315</v>
      </c>
      <c r="J68" s="40">
        <f>IF((J$40-($C67*J$43-SUM(J$45:J67)))&lt;0,0,(J$40-($C67*J$43-SUM(J$45:J67))))*$C$41/12</f>
        <v>11961.523957138184</v>
      </c>
      <c r="K68" s="40">
        <f>IF((K$40-($C67*K$43-SUM(K$45:K67)))&lt;0,0,(K$40-($C67*K$43-SUM(K$45:K67))))*$C$41/12</f>
        <v>9718.7382151747752</v>
      </c>
      <c r="L68" s="40">
        <f>IF((L$40-($C67*L$43-SUM(L$45:L67)))&lt;0,0,(L$40-($C67*L$43-SUM(L$45:L67))))*$C$41/12</f>
        <v>0</v>
      </c>
    </row>
    <row r="69" spans="2:12" hidden="1" outlineLevel="1">
      <c r="B69" s="26" t="s">
        <v>86</v>
      </c>
      <c r="C69" s="26">
        <v>25</v>
      </c>
      <c r="D69" s="40">
        <f>IF((D$40-($C68*D$43-SUM(D$45:D68)))&lt;0,0,(D$40-($C68*D$43-SUM(D$45:D68))))*$C$41/12</f>
        <v>3761.7991037082552</v>
      </c>
      <c r="E69" s="40">
        <f>IF((E$40-($C68*E$43-SUM(E$45:E68)))&lt;0,0,(E$40-($C68*E$43-SUM(E$45:E68))))*$C$41/12</f>
        <v>3761.7991037082552</v>
      </c>
      <c r="F69" s="40">
        <f>IF((F$40-($C68*F$43-SUM(F$45:F68)))&lt;0,0,(F$40-($C68*F$43-SUM(F$45:F68))))*$C$41/12</f>
        <v>5164.6777785318263</v>
      </c>
      <c r="G69" s="40">
        <f>IF((G$40-($C68*G$43-SUM(G$45:G68)))&lt;0,0,(G$40-($C68*G$43-SUM(G$45:G68))))*$C$41/12</f>
        <v>5478.9865378125442</v>
      </c>
      <c r="H69" s="40">
        <f>IF((H$40-($C68*H$43-SUM(H$45:H68)))&lt;0,0,(H$40-($C68*H$43-SUM(H$45:H68))))*$C$41/12</f>
        <v>6485.8051040009786</v>
      </c>
      <c r="I69" s="40">
        <f>IF((I$40-($C68*I$43-SUM(I$45:I68)))&lt;0,0,(I$40-($C68*I$43-SUM(I$45:I68))))*$C$41/12</f>
        <v>7841.0385118917293</v>
      </c>
      <c r="J69" s="40">
        <f>IF((J$40-($C68*J$43-SUM(J$45:J68)))&lt;0,0,(J$40-($C68*J$43-SUM(J$45:J68))))*$C$41/12</f>
        <v>11688.504614000094</v>
      </c>
      <c r="K69" s="40">
        <f>IF((K$40-($C68*K$43-SUM(K$45:K68)))&lt;0,0,(K$40-($C68*K$43-SUM(K$45:K68))))*$C$41/12</f>
        <v>9496.9099988750768</v>
      </c>
      <c r="L69" s="40">
        <f>IF((L$40-($C68*L$43-SUM(L$45:L68)))&lt;0,0,(L$40-($C68*L$43-SUM(L$45:L68))))*$C$41/12</f>
        <v>0</v>
      </c>
    </row>
    <row r="70" spans="2:12" hidden="1" outlineLevel="1">
      <c r="B70" s="26" t="s">
        <v>87</v>
      </c>
      <c r="C70" s="24">
        <v>26</v>
      </c>
      <c r="D70" s="40">
        <f>IF((D$40-($C69*D$43-SUM(D$45:D69)))&lt;0,0,(D$40-($C69*D$43-SUM(D$45:D69))))*$C$41/12</f>
        <v>3673.1257854516175</v>
      </c>
      <c r="E70" s="40">
        <f>IF((E$40-($C69*E$43-SUM(E$45:E69)))&lt;0,0,(E$40-($C69*E$43-SUM(E$45:E69))))*$C$41/12</f>
        <v>3673.1257854516175</v>
      </c>
      <c r="F70" s="40">
        <f>IF((F$40-($C69*F$43-SUM(F$45:F69)))&lt;0,0,(F$40-($C69*F$43-SUM(F$45:F69))))*$C$41/12</f>
        <v>5042.9357333765483</v>
      </c>
      <c r="G70" s="40">
        <f>IF((G$40-($C69*G$43-SUM(G$45:G69)))&lt;0,0,(G$40-($C69*G$43-SUM(G$45:G69))))*$C$41/12</f>
        <v>5349.8355907265195</v>
      </c>
      <c r="H70" s="40">
        <f>IF((H$40-($C69*H$43-SUM(H$45:H69)))&lt;0,0,(H$40-($C69*H$43-SUM(H$45:H69))))*$C$41/12</f>
        <v>6332.9213788784255</v>
      </c>
      <c r="I70" s="40">
        <f>IF((I$40-($C69*I$43-SUM(I$45:I69)))&lt;0,0,(I$40-($C69*I$43-SUM(I$45:I69))))*$C$41/12</f>
        <v>7656.2091565063965</v>
      </c>
      <c r="J70" s="40">
        <f>IF((J$40-($C69*J$43-SUM(J$45:J69)))&lt;0,0,(J$40-($C69*J$43-SUM(J$45:J69))))*$C$41/12</f>
        <v>11412.982593549905</v>
      </c>
      <c r="K70" s="40">
        <f>IF((K$40-($C69*K$43-SUM(K$45:K69)))&lt;0,0,(K$40-($C69*K$43-SUM(K$45:K69))))*$C$41/12</f>
        <v>9273.0483572593002</v>
      </c>
      <c r="L70" s="40">
        <f>IF((L$40-($C69*L$43-SUM(L$45:L69)))&lt;0,0,(L$40-($C69*L$43-SUM(L$45:L69))))*$C$41/12</f>
        <v>0</v>
      </c>
    </row>
    <row r="71" spans="2:12" hidden="1" outlineLevel="1">
      <c r="B71" s="26" t="s">
        <v>88</v>
      </c>
      <c r="C71" s="26">
        <v>27</v>
      </c>
      <c r="D71" s="40">
        <f>IF((D$40-($C70*D$43-SUM(D$45:D70)))&lt;0,0,(D$40-($C70*D$43-SUM(D$45:D70))))*$C$41/12</f>
        <v>3583.6396284442949</v>
      </c>
      <c r="E71" s="40">
        <f>IF((E$40-($C70*E$43-SUM(E$45:E70)))&lt;0,0,(E$40-($C70*E$43-SUM(E$45:E70))))*$C$41/12</f>
        <v>3583.6396284442949</v>
      </c>
      <c r="F71" s="40">
        <f>IF((F$40-($C70*F$43-SUM(F$45:F70)))&lt;0,0,(F$40-($C70*F$43-SUM(F$45:F70))))*$C$41/12</f>
        <v>4920.0777194740131</v>
      </c>
      <c r="G71" s="40">
        <f>IF((G$40-($C70*G$43-SUM(G$45:G70)))&lt;0,0,(G$40-($C70*G$43-SUM(G$45:G70))))*$C$41/12</f>
        <v>5219.5007599588725</v>
      </c>
      <c r="H71" s="40">
        <f>IF((H$40-($C70*H$43-SUM(H$45:H70)))&lt;0,0,(H$40-($C70*H$43-SUM(H$45:H70))))*$C$41/12</f>
        <v>6178.636219608914</v>
      </c>
      <c r="I71" s="40">
        <f>IF((I$40-($C70*I$43-SUM(I$45:I70)))&lt;0,0,(I$40-($C70*I$43-SUM(I$45:I70))))*$C$41/12</f>
        <v>7469.6855320300301</v>
      </c>
      <c r="J71" s="40">
        <f>IF((J$40-($C70*J$43-SUM(J$45:J70)))&lt;0,0,(J$40-($C70*J$43-SUM(J$45:J70))))*$C$41/12</f>
        <v>11134.934954578925</v>
      </c>
      <c r="K71" s="40">
        <f>IF((K$40-($C70*K$43-SUM(K$45:K70)))&lt;0,0,(K$40-($C70*K$43-SUM(K$45:K70))))*$C$41/12</f>
        <v>9047.1346505953788</v>
      </c>
      <c r="L71" s="40">
        <f>IF((L$40-($C70*L$43-SUM(L$45:L70)))&lt;0,0,(L$40-($C70*L$43-SUM(L$45:L70))))*$C$41/12</f>
        <v>0</v>
      </c>
    </row>
    <row r="72" spans="2:12" hidden="1" outlineLevel="1">
      <c r="B72" s="26" t="s">
        <v>89</v>
      </c>
      <c r="C72" s="24">
        <v>28</v>
      </c>
      <c r="D72" s="40">
        <f>IF((D$40-($C71*D$43-SUM(D$45:D71)))&lt;0,0,(D$40-($C71*D$43-SUM(D$45:D71))))*$C$41/12</f>
        <v>3493.3331816644045</v>
      </c>
      <c r="E72" s="40">
        <f>IF((E$40-($C71*E$43-SUM(E$45:E71)))&lt;0,0,(E$40-($C71*E$43-SUM(E$45:E71))))*$C$41/12</f>
        <v>3493.3331816644045</v>
      </c>
      <c r="F72" s="40">
        <f>IF((F$40-($C71*F$43-SUM(F$45:F71)))&lt;0,0,(F$40-($C71*F$43-SUM(F$45:F71))))*$C$41/12</f>
        <v>4796.0935071107051</v>
      </c>
      <c r="G72" s="40">
        <f>IF((G$40-($C71*G$43-SUM(G$45:G71)))&lt;0,0,(G$40-($C71*G$43-SUM(G$45:G71))))*$C$41/12</f>
        <v>5087.9711932425216</v>
      </c>
      <c r="H72" s="40">
        <f>IF((H$40-($C71*H$43-SUM(H$45:H71)))&lt;0,0,(H$40-($C71*H$43-SUM(H$45:H71))))*$C$41/12</f>
        <v>6022.9367797127679</v>
      </c>
      <c r="I72" s="40">
        <f>IF((I$40-($C71*I$43-SUM(I$45:I71)))&lt;0,0,(I$40-($C71*I$43-SUM(I$45:I71))))*$C$41/12</f>
        <v>7281.4521076626288</v>
      </c>
      <c r="J72" s="40">
        <f>IF((J$40-($C71*J$43-SUM(J$45:J71)))&lt;0,0,(J$40-($C71*J$43-SUM(J$45:J71))))*$C$41/12</f>
        <v>10854.338545584043</v>
      </c>
      <c r="K72" s="40">
        <f>IF((K$40-($C71*K$43-SUM(K$45:K71)))&lt;0,0,(K$40-($C71*K$43-SUM(K$45:K71))))*$C$41/12</f>
        <v>8819.1500682870355</v>
      </c>
      <c r="L72" s="40">
        <f>IF((L$40-($C71*L$43-SUM(L$45:L71)))&lt;0,0,(L$40-($C71*L$43-SUM(L$45:L71))))*$C$41/12</f>
        <v>0</v>
      </c>
    </row>
    <row r="73" spans="2:12" hidden="1" outlineLevel="1">
      <c r="B73" s="26" t="s">
        <v>90</v>
      </c>
      <c r="C73" s="26">
        <v>29</v>
      </c>
      <c r="D73" s="40">
        <f>IF((D$40-($C72*D$43-SUM(D$45:D72)))&lt;0,0,(D$40-($C72*D$43-SUM(D$45:D72))))*$C$41/12</f>
        <v>3402.1989257890323</v>
      </c>
      <c r="E73" s="40">
        <f>IF((E$40-($C72*E$43-SUM(E$45:E72)))&lt;0,0,(E$40-($C72*E$43-SUM(E$45:E72))))*$C$41/12</f>
        <v>3402.1989257890323</v>
      </c>
      <c r="F73" s="40">
        <f>IF((F$40-($C72*F$43-SUM(F$45:F72)))&lt;0,0,(F$40-($C72*F$43-SUM(F$45:F72))))*$C$41/12</f>
        <v>4670.9727728007338</v>
      </c>
      <c r="G73" s="40">
        <f>IF((G$40-($C72*G$43-SUM(G$45:G72)))&lt;0,0,(G$40-($C72*G$43-SUM(G$45:G72))))*$C$41/12</f>
        <v>4955.2359388312716</v>
      </c>
      <c r="H73" s="40">
        <f>IF((H$40-($C72*H$43-SUM(H$45:H72)))&lt;0,0,(H$40-($C72*H$43-SUM(H$45:H72))))*$C$41/12</f>
        <v>5865.8100949509035</v>
      </c>
      <c r="I73" s="40">
        <f>IF((I$40-($C72*I$43-SUM(I$45:I72)))&lt;0,0,(I$40-($C72*I$43-SUM(I$45:I72))))*$C$41/12</f>
        <v>7091.4932102385283</v>
      </c>
      <c r="J73" s="40">
        <f>IF((J$40-($C72*J$43-SUM(J$45:J72)))&lt;0,0,(J$40-($C72*J$43-SUM(J$45:J72))))*$C$41/12</f>
        <v>10571.170002840039</v>
      </c>
      <c r="K73" s="40">
        <f>IF((K$40-($C72*K$43-SUM(K$45:K72)))&lt;0,0,(K$40-($C72*K$43-SUM(K$45:K72))))*$C$41/12</f>
        <v>8589.0756273075349</v>
      </c>
      <c r="L73" s="40">
        <f>IF((L$40-($C72*L$43-SUM(L$45:L72)))&lt;0,0,(L$40-($C72*L$43-SUM(L$45:L72))))*$C$41/12</f>
        <v>0</v>
      </c>
    </row>
    <row r="74" spans="2:12" hidden="1" outlineLevel="1">
      <c r="B74" s="26" t="s">
        <v>91</v>
      </c>
      <c r="C74" s="24">
        <v>30</v>
      </c>
      <c r="D74" s="40">
        <f>IF((D$40-($C73*D$43-SUM(D$45:D73)))&lt;0,0,(D$40-($C73*D$43-SUM(D$45:D73))))*$C$41/12</f>
        <v>3310.229272568135</v>
      </c>
      <c r="E74" s="40">
        <f>IF((E$40-($C73*E$43-SUM(E$45:E73)))&lt;0,0,(E$40-($C73*E$43-SUM(E$45:E73))))*$C$41/12</f>
        <v>3310.229272568135</v>
      </c>
      <c r="F74" s="40">
        <f>IF((F$40-($C73*F$43-SUM(F$45:F73)))&lt;0,0,(F$40-($C73*F$43-SUM(F$45:F73))))*$C$41/12</f>
        <v>4544.7050984262532</v>
      </c>
      <c r="G74" s="40">
        <f>IF((G$40-($C73*G$43-SUM(G$45:G73)))&lt;0,0,(G$40-($C73*G$43-SUM(G$45:G73))))*$C$41/12</f>
        <v>4821.2839445879172</v>
      </c>
      <c r="H74" s="40">
        <f>IF((H$40-($C73*H$43-SUM(H$45:H73)))&lt;0,0,(H$40-($C73*H$43-SUM(H$45:H73))))*$C$41/12</f>
        <v>5707.2430822453925</v>
      </c>
      <c r="I74" s="40">
        <f>IF((I$40-($C73*I$43-SUM(I$45:I73)))&lt;0,0,(I$40-($C73*I$43-SUM(I$45:I73))))*$C$41/12</f>
        <v>6899.7930229213716</v>
      </c>
      <c r="J74" s="40">
        <f>IF((J$40-($C73*J$43-SUM(J$45:J73)))&lt;0,0,(J$40-($C73*J$43-SUM(J$45:J73))))*$C$41/12</f>
        <v>10285.405748454219</v>
      </c>
      <c r="K74" s="40">
        <f>IF((K$40-($C73*K$43-SUM(K$45:K73)))&lt;0,0,(K$40-($C73*K$43-SUM(K$45:K73))))*$C$41/12</f>
        <v>8356.892170619054</v>
      </c>
      <c r="L74" s="40">
        <f>IF((L$40-($C73*L$43-SUM(L$45:L73)))&lt;0,0,(L$40-($C73*L$43-SUM(L$45:L73))))*$C$41/12</f>
        <v>0</v>
      </c>
    </row>
    <row r="75" spans="2:12" hidden="1" outlineLevel="1">
      <c r="B75" s="26" t="s">
        <v>92</v>
      </c>
      <c r="C75" s="26">
        <v>31</v>
      </c>
      <c r="D75" s="40">
        <f>IF((D$40-($C74*D$43-SUM(D$45:D74)))&lt;0,0,(D$40-($C74*D$43-SUM(D$45:D74))))*$C$41/12</f>
        <v>3217.4165641927134</v>
      </c>
      <c r="E75" s="40">
        <f>IF((E$40-($C74*E$43-SUM(E$45:E74)))&lt;0,0,(E$40-($C74*E$43-SUM(E$45:E74))))*$C$41/12</f>
        <v>3217.4165641927134</v>
      </c>
      <c r="F75" s="40">
        <f>IF((F$40-($C74*F$43-SUM(F$45:F74)))&lt;0,0,(F$40-($C74*F$43-SUM(F$45:F74))))*$C$41/12</f>
        <v>4417.2799703700075</v>
      </c>
      <c r="G75" s="40">
        <f>IF((G$40-($C74*G$43-SUM(G$45:G74)))&lt;0,0,(G$40-($C74*G$43-SUM(G$45:G74))))*$C$41/12</f>
        <v>4686.1040570639989</v>
      </c>
      <c r="H75" s="40">
        <f>IF((H$40-($C74*H$43-SUM(H$45:H74)))&lt;0,0,(H$40-($C74*H$43-SUM(H$45:H74))))*$C$41/12</f>
        <v>5547.2225385900783</v>
      </c>
      <c r="I75" s="40">
        <f>IF((I$40-($C74*I$43-SUM(I$45:I74)))&lt;0,0,(I$40-($C74*I$43-SUM(I$45:I74))))*$C$41/12</f>
        <v>6706.3355838871439</v>
      </c>
      <c r="J75" s="40">
        <f>IF((J$40-($C74*J$43-SUM(J$45:J74)))&lt;0,0,(J$40-($C74*J$43-SUM(J$45:J74))))*$C$41/12</f>
        <v>9997.0219884031958</v>
      </c>
      <c r="K75" s="40">
        <f>IF((K$40-($C74*K$43-SUM(K$45:K74)))&lt;0,0,(K$40-($C74*K$43-SUM(K$45:K74))))*$C$41/12</f>
        <v>8122.5803655775962</v>
      </c>
      <c r="L75" s="40">
        <f>IF((L$40-($C74*L$43-SUM(L$45:L74)))&lt;0,0,(L$40-($C74*L$43-SUM(L$45:L74))))*$C$41/12</f>
        <v>0</v>
      </c>
    </row>
    <row r="76" spans="2:12" hidden="1" outlineLevel="1">
      <c r="B76" s="26" t="s">
        <v>93</v>
      </c>
      <c r="C76" s="24">
        <v>32</v>
      </c>
      <c r="D76" s="40">
        <f>IF((D$40-($C75*D$43-SUM(D$45:D75)))&lt;0,0,(D$40-($C75*D$43-SUM(D$45:D75))))*$C$41/12</f>
        <v>3123.7530726571827</v>
      </c>
      <c r="E76" s="40">
        <f>IF((E$40-($C75*E$43-SUM(E$45:E75)))&lt;0,0,(E$40-($C75*E$43-SUM(E$45:E75))))*$C$41/12</f>
        <v>3123.7530726571827</v>
      </c>
      <c r="F76" s="40">
        <f>IF((F$40-($C75*F$43-SUM(F$45:F75)))&lt;0,0,(F$40-($C75*F$43-SUM(F$45:F75))))*$C$41/12</f>
        <v>4288.6867786399125</v>
      </c>
      <c r="G76" s="40">
        <f>IF((G$40-($C75*G$43-SUM(G$45:G75)))&lt;0,0,(G$40-($C75*G$43-SUM(G$45:G75))))*$C$41/12</f>
        <v>4549.6850205711107</v>
      </c>
      <c r="H76" s="40">
        <f>IF((H$40-($C75*H$43-SUM(H$45:H75)))&lt;0,0,(H$40-($C75*H$43-SUM(H$45:H75))))*$C$41/12</f>
        <v>5385.735139951259</v>
      </c>
      <c r="I76" s="40">
        <f>IF((I$40-($C75*I$43-SUM(I$45:I75)))&lt;0,0,(I$40-($C75*I$43-SUM(I$45:I75))))*$C$41/12</f>
        <v>6511.1047849951001</v>
      </c>
      <c r="J76" s="40">
        <f>IF((J$40-($C75*J$43-SUM(J$45:J75)))&lt;0,0,(J$40-($C75*J$43-SUM(J$45:J75))))*$C$41/12</f>
        <v>9705.994710551704</v>
      </c>
      <c r="K76" s="40">
        <f>IF((K$40-($C75*K$43-SUM(K$45:K75)))&lt;0,0,(K$40-($C75*K$43-SUM(K$45:K75))))*$C$41/12</f>
        <v>7886.1207023232573</v>
      </c>
      <c r="L76" s="40">
        <f>IF((L$40-($C75*L$43-SUM(L$45:L75)))&lt;0,0,(L$40-($C75*L$43-SUM(L$45:L75))))*$C$41/12</f>
        <v>0</v>
      </c>
    </row>
    <row r="77" spans="2:12" hidden="1" outlineLevel="1">
      <c r="B77" s="26" t="s">
        <v>94</v>
      </c>
      <c r="C77" s="26">
        <v>33</v>
      </c>
      <c r="D77" s="40">
        <f>IF((D$40-($C76*D$43-SUM(D$45:D76)))&lt;0,0,(D$40-($C76*D$43-SUM(D$45:D76))))*$C$41/12</f>
        <v>3029.2309991159109</v>
      </c>
      <c r="E77" s="40">
        <f>IF((E$40-($C76*E$43-SUM(E$45:E76)))&lt;0,0,(E$40-($C76*E$43-SUM(E$45:E76))))*$C$41/12</f>
        <v>3029.2309991159109</v>
      </c>
      <c r="F77" s="40">
        <f>IF((F$40-($C76*F$43-SUM(F$45:F76)))&lt;0,0,(F$40-($C76*F$43-SUM(F$45:F76))))*$C$41/12</f>
        <v>4158.914815985625</v>
      </c>
      <c r="G77" s="40">
        <f>IF((G$40-($C76*G$43-SUM(G$45:G76)))&lt;0,0,(G$40-($C76*G$43-SUM(G$45:G76))))*$C$41/12</f>
        <v>4412.015476243706</v>
      </c>
      <c r="H77" s="40">
        <f>IF((H$40-($C76*H$43-SUM(H$45:H76)))&lt;0,0,(H$40-($C76*H$43-SUM(H$45:H76))))*$C$41/12</f>
        <v>5222.767440158249</v>
      </c>
      <c r="I77" s="40">
        <f>IF((I$40-($C76*I$43-SUM(I$45:I76)))&lt;0,0,(I$40-($C76*I$43-SUM(I$45:I76))))*$C$41/12</f>
        <v>6314.0843704465469</v>
      </c>
      <c r="J77" s="40">
        <f>IF((J$40-($C76*J$43-SUM(J$45:J76)))&lt;0,0,(J$40-($C76*J$43-SUM(J$45:J76))))*$C$41/12</f>
        <v>9412.2996826532362</v>
      </c>
      <c r="K77" s="40">
        <f>IF((K$40-($C76*K$43-SUM(K$45:K76)))&lt;0,0,(K$40-($C76*K$43-SUM(K$45:K76))))*$C$41/12</f>
        <v>7647.4934921557551</v>
      </c>
      <c r="L77" s="40">
        <f>IF((L$40-($C76*L$43-SUM(L$45:L76)))&lt;0,0,(L$40-($C76*L$43-SUM(L$45:L76))))*$C$41/12</f>
        <v>0</v>
      </c>
    </row>
    <row r="78" spans="2:12" hidden="1" outlineLevel="1">
      <c r="B78" s="26" t="s">
        <v>95</v>
      </c>
      <c r="C78" s="24">
        <v>34</v>
      </c>
      <c r="D78" s="40">
        <f>IF((D$40-($C77*D$43-SUM(D$45:D77)))&lt;0,0,(D$40-($C77*D$43-SUM(D$45:D77))))*$C$41/12</f>
        <v>2933.8424732338444</v>
      </c>
      <c r="E78" s="40">
        <f>IF((E$40-($C77*E$43-SUM(E$45:E77)))&lt;0,0,(E$40-($C77*E$43-SUM(E$45:E77))))*$C$41/12</f>
        <v>2933.8424732338444</v>
      </c>
      <c r="F78" s="40">
        <f>IF((F$40-($C77*F$43-SUM(F$45:F77)))&lt;0,0,(F$40-($C77*F$43-SUM(F$45:F77))))*$C$41/12</f>
        <v>4027.9532770070068</v>
      </c>
      <c r="G78" s="40">
        <f>IF((G$40-($C77*G$43-SUM(G$45:G77)))&lt;0,0,(G$40-($C77*G$43-SUM(G$45:G77))))*$C$41/12</f>
        <v>4273.083961093299</v>
      </c>
      <c r="H78" s="40">
        <f>IF((H$40-($C77*H$43-SUM(H$45:H77)))&lt;0,0,(H$40-($C77*H$43-SUM(H$45:H77))))*$C$41/12</f>
        <v>5058.3058697838042</v>
      </c>
      <c r="I78" s="40">
        <f>IF((I$40-($C77*I$43-SUM(I$45:I77)))&lt;0,0,(I$40-($C77*I$43-SUM(I$45:I77))))*$C$41/12</f>
        <v>6115.2579354312984</v>
      </c>
      <c r="J78" s="40">
        <f>IF((J$40-($C77*J$43-SUM(J$45:J77)))&lt;0,0,(J$40-($C77*J$43-SUM(J$45:J77))))*$C$41/12</f>
        <v>9115.9124503323692</v>
      </c>
      <c r="K78" s="40">
        <f>IF((K$40-($C77*K$43-SUM(K$45:K77)))&lt;0,0,(K$40-($C77*K$43-SUM(K$45:K77))))*$C$41/12</f>
        <v>7406.6788658950509</v>
      </c>
      <c r="L78" s="40">
        <f>IF((L$40-($C77*L$43-SUM(L$45:L77)))&lt;0,0,(L$40-($C77*L$43-SUM(L$45:L77))))*$C$41/12</f>
        <v>0</v>
      </c>
    </row>
    <row r="79" spans="2:12" hidden="1" outlineLevel="1">
      <c r="B79" s="26" t="s">
        <v>96</v>
      </c>
      <c r="C79" s="26">
        <v>35</v>
      </c>
      <c r="D79" s="40">
        <f>IF((D$40-($C78*D$43-SUM(D$45:D78)))&lt;0,0,(D$40-($C78*D$43-SUM(D$45:D78))))*$C$41/12</f>
        <v>2837.579552531191</v>
      </c>
      <c r="E79" s="40">
        <f>IF((E$40-($C78*E$43-SUM(E$45:E78)))&lt;0,0,(E$40-($C78*E$43-SUM(E$45:E78))))*$C$41/12</f>
        <v>2837.579552531191</v>
      </c>
      <c r="F79" s="40">
        <f>IF((F$40-($C78*F$43-SUM(F$45:F78)))&lt;0,0,(F$40-($C78*F$43-SUM(F$45:F78))))*$C$41/12</f>
        <v>3895.7912572544174</v>
      </c>
      <c r="G79" s="40">
        <f>IF((G$40-($C78*G$43-SUM(G$45:G78)))&lt;0,0,(G$40-($C78*G$43-SUM(G$45:G78))))*$C$41/12</f>
        <v>4132.8789070540133</v>
      </c>
      <c r="H79" s="40">
        <f>IF((H$40-($C78*H$43-SUM(H$45:H78)))&lt;0,0,(H$40-($C78*H$43-SUM(H$45:H78))))*$C$41/12</f>
        <v>4892.3367350142598</v>
      </c>
      <c r="I79" s="40">
        <f>IF((I$40-($C78*I$43-SUM(I$45:I78)))&lt;0,0,(I$40-($C78*I$43-SUM(I$45:I78))))*$C$41/12</f>
        <v>5914.6089247617429</v>
      </c>
      <c r="J79" s="40">
        <f>IF((J$40-($C78*J$43-SUM(J$45:J78)))&lt;0,0,(J$40-($C78*J$43-SUM(J$45:J78))))*$C$41/12</f>
        <v>8816.8083350485595</v>
      </c>
      <c r="K79" s="40">
        <f>IF((K$40-($C78*K$43-SUM(K$45:K78)))&lt;0,0,(K$40-($C78*K$43-SUM(K$45:K78))))*$C$41/12</f>
        <v>7163.6567722269574</v>
      </c>
      <c r="L79" s="40">
        <f>IF((L$40-($C78*L$43-SUM(L$45:L78)))&lt;0,0,(L$40-($C78*L$43-SUM(L$45:L78))))*$C$41/12</f>
        <v>0</v>
      </c>
    </row>
    <row r="80" spans="2:12" hidden="1" outlineLevel="1">
      <c r="B80" s="26" t="s">
        <v>97</v>
      </c>
      <c r="C80" s="24">
        <v>36</v>
      </c>
      <c r="D80" s="40">
        <f>IF((D$40-($C79*D$43-SUM(D$45:D79)))&lt;0,0,(D$40-($C79*D$43-SUM(D$45:D79))))*$C$41/12</f>
        <v>2740.4342217220969</v>
      </c>
      <c r="E80" s="40">
        <f>IF((E$40-($C79*E$43-SUM(E$45:E79)))&lt;0,0,(E$40-($C79*E$43-SUM(E$45:E79))))*$C$41/12</f>
        <v>2740.4342217220969</v>
      </c>
      <c r="F80" s="40">
        <f>IF((F$40-($C79*F$43-SUM(F$45:F79)))&lt;0,0,(F$40-($C79*F$43-SUM(F$45:F79))))*$C$41/12</f>
        <v>3762.4177523207632</v>
      </c>
      <c r="G80" s="40">
        <f>IF((G$40-($C79*G$43-SUM(G$45:G79)))&lt;0,0,(G$40-($C79*G$43-SUM(G$45:G79))))*$C$41/12</f>
        <v>3991.3886400193678</v>
      </c>
      <c r="H80" s="40">
        <f>IF((H$40-($C79*H$43-SUM(H$45:H79)))&lt;0,0,(H$40-($C79*H$43-SUM(H$45:H79))))*$C$41/12</f>
        <v>4724.846216509327</v>
      </c>
      <c r="I80" s="40">
        <f>IF((I$40-($C79*I$43-SUM(I$45:I79)))&lt;0,0,(I$40-($C79*I$43-SUM(I$45:I79))))*$C$41/12</f>
        <v>5712.1206314943847</v>
      </c>
      <c r="J80" s="40">
        <f>IF((J$40-($C79*J$43-SUM(J$45:J79)))&lt;0,0,(J$40-($C79*J$43-SUM(J$45:J79))))*$C$41/12</f>
        <v>8514.962432041315</v>
      </c>
      <c r="K80" s="40">
        <f>IF((K$40-($C79*K$43-SUM(K$45:K79)))&lt;0,0,(K$40-($C79*K$43-SUM(K$45:K79))))*$C$41/12</f>
        <v>6918.4069760335697</v>
      </c>
      <c r="L80" s="40">
        <f>IF((L$40-($C79*L$43-SUM(L$45:L79)))&lt;0,0,(L$40-($C79*L$43-SUM(L$45:L79))))*$C$41/12</f>
        <v>0</v>
      </c>
    </row>
    <row r="81" spans="2:12" hidden="1" outlineLevel="1">
      <c r="B81" s="26" t="s">
        <v>98</v>
      </c>
      <c r="C81" s="26">
        <v>37</v>
      </c>
      <c r="D81" s="40">
        <f>IF((D$40-($C80*D$43-SUM(D$45:D80)))&lt;0,0,(D$40-($C80*D$43-SUM(D$45:D80))))*$C$41/12</f>
        <v>2642.3983920472533</v>
      </c>
      <c r="E81" s="40">
        <f>IF((E$40-($C80*E$43-SUM(E$45:E80)))&lt;0,0,(E$40-($C80*E$43-SUM(E$45:E80))))*$C$41/12</f>
        <v>2642.3983920472533</v>
      </c>
      <c r="F81" s="40">
        <f>IF((F$40-($C80*F$43-SUM(F$45:F80)))&lt;0,0,(F$40-($C80*F$43-SUM(F$45:F80))))*$C$41/12</f>
        <v>3627.8216569252163</v>
      </c>
      <c r="G81" s="40">
        <f>IF((G$40-($C80*G$43-SUM(G$45:G80)))&lt;0,0,(G$40-($C80*G$43-SUM(G$45:G80))))*$C$41/12</f>
        <v>3848.601378870238</v>
      </c>
      <c r="H81" s="40">
        <f>IF((H$40-($C80*H$43-SUM(H$45:H80)))&lt;0,0,(H$40-($C80*H$43-SUM(H$45:H80))))*$C$41/12</f>
        <v>4555.8203682514331</v>
      </c>
      <c r="I81" s="40">
        <f>IF((I$40-($C80*I$43-SUM(I$45:I80)))&lt;0,0,(I$40-($C80*I$43-SUM(I$45:I80))))*$C$41/12</f>
        <v>5507.7761955387405</v>
      </c>
      <c r="J81" s="40">
        <f>IF((J$40-($C80*J$43-SUM(J$45:J80)))&lt;0,0,(J$40-($C80*J$43-SUM(J$45:J80))))*$C$41/12</f>
        <v>8210.3496082565052</v>
      </c>
      <c r="K81" s="40">
        <f>IF((K$40-($C80*K$43-SUM(K$45:K80)))&lt;0,0,(K$40-($C80*K$43-SUM(K$45:K80))))*$C$41/12</f>
        <v>6670.9090567084122</v>
      </c>
      <c r="L81" s="40">
        <f>IF((L$40-($C80*L$43-SUM(L$45:L80)))&lt;0,0,(L$40-($C80*L$43-SUM(L$45:L80))))*$C$41/12</f>
        <v>0</v>
      </c>
    </row>
    <row r="82" spans="2:12" hidden="1" outlineLevel="1">
      <c r="B82" s="26" t="s">
        <v>99</v>
      </c>
      <c r="C82" s="24">
        <v>38</v>
      </c>
      <c r="D82" s="40">
        <f>IF((D$40-($C81*D$43-SUM(D$45:D81)))&lt;0,0,(D$40-($C81*D$43-SUM(D$45:D81))))*$C$41/12</f>
        <v>2543.4639006003899</v>
      </c>
      <c r="E82" s="40">
        <f>IF((E$40-($C81*E$43-SUM(E$45:E81)))&lt;0,0,(E$40-($C81*E$43-SUM(E$45:E81))))*$C$41/12</f>
        <v>2543.4639006003899</v>
      </c>
      <c r="F82" s="40">
        <f>IF((F$40-($C81*F$43-SUM(F$45:F81)))&lt;0,0,(F$40-($C81*F$43-SUM(F$45:F81))))*$C$41/12</f>
        <v>3491.9917639885443</v>
      </c>
      <c r="G82" s="40">
        <f>IF((G$40-($C81*G$43-SUM(G$45:G81)))&lt;0,0,(G$40-($C81*G$43-SUM(G$45:G81))))*$C$41/12</f>
        <v>3704.5052344939081</v>
      </c>
      <c r="H82" s="40">
        <f>IF((H$40-($C81*H$43-SUM(H$45:H81)))&lt;0,0,(H$40-($C81*H$43-SUM(H$45:H81))))*$C$41/12</f>
        <v>4385.245116384508</v>
      </c>
      <c r="I82" s="40">
        <f>IF((I$40-($C81*I$43-SUM(I$45:I81)))&lt;0,0,(I$40-($C81*I$43-SUM(I$45:I81))))*$C$41/12</f>
        <v>5301.5586022535035</v>
      </c>
      <c r="J82" s="40">
        <f>IF((J$40-($C81*J$43-SUM(J$45:J81)))&lt;0,0,(J$40-($C81*J$43-SUM(J$45:J81))))*$C$41/12</f>
        <v>7902.9445002536668</v>
      </c>
      <c r="K82" s="40">
        <f>IF((K$40-($C81*K$43-SUM(K$45:K81)))&lt;0,0,(K$40-($C81*K$43-SUM(K$45:K81))))*$C$41/12</f>
        <v>6421.142406456107</v>
      </c>
      <c r="L82" s="40">
        <f>IF((L$40-($C81*L$43-SUM(L$45:L81)))&lt;0,0,(L$40-($C81*L$43-SUM(L$45:L81))))*$C$41/12</f>
        <v>0</v>
      </c>
    </row>
    <row r="83" spans="2:12" hidden="1" outlineLevel="1">
      <c r="B83" s="26" t="s">
        <v>100</v>
      </c>
      <c r="C83" s="26">
        <v>39</v>
      </c>
      <c r="D83" s="40">
        <f>IF((D$40-($C82*D$43-SUM(D$45:D82)))&lt;0,0,(D$40-($C82*D$43-SUM(D$45:D82))))*$C$41/12</f>
        <v>2443.6225096485973</v>
      </c>
      <c r="E83" s="40">
        <f>IF((E$40-($C82*E$43-SUM(E$45:E82)))&lt;0,0,(E$40-($C82*E$43-SUM(E$45:E82))))*$C$41/12</f>
        <v>2443.6225096485973</v>
      </c>
      <c r="F83" s="40">
        <f>IF((F$40-($C82*F$43-SUM(F$45:F82)))&lt;0,0,(F$40-($C82*F$43-SUM(F$45:F82))))*$C$41/12</f>
        <v>3354.9167636999523</v>
      </c>
      <c r="G83" s="40">
        <f>IF((G$40-($C82*G$43-SUM(G$45:G82)))&lt;0,0,(G$40-($C82*G$43-SUM(G$45:G82))))*$C$41/12</f>
        <v>3559.0882087941295</v>
      </c>
      <c r="H83" s="40">
        <f>IF((H$40-($C82*H$43-SUM(H$45:H82)))&lt;0,0,(H$40-($C82*H$43-SUM(H$45:H82))))*$C$41/12</f>
        <v>4213.1062580421385</v>
      </c>
      <c r="I83" s="40">
        <f>IF((I$40-($C82*I$43-SUM(I$45:I82)))&lt;0,0,(I$40-($C82*I$43-SUM(I$45:I82))))*$C$41/12</f>
        <v>5093.4506810298199</v>
      </c>
      <c r="J83" s="40">
        <f>IF((J$40-($C82*J$43-SUM(J$45:J82)))&lt;0,0,(J$40-($C82*J$43-SUM(J$45:J82))))*$C$41/12</f>
        <v>7592.7215120941373</v>
      </c>
      <c r="K83" s="40">
        <f>IF((K$40-($C82*K$43-SUM(K$45:K82)))&lt;0,0,(K$40-($C82*K$43-SUM(K$45:K82))))*$C$41/12</f>
        <v>6169.0862285764888</v>
      </c>
      <c r="L83" s="40">
        <f>IF((L$40-($C82*L$43-SUM(L$45:L82)))&lt;0,0,(L$40-($C82*L$43-SUM(L$45:L82))))*$C$41/12</f>
        <v>0</v>
      </c>
    </row>
    <row r="84" spans="2:12" hidden="1" outlineLevel="1">
      <c r="B84" s="26" t="s">
        <v>101</v>
      </c>
      <c r="C84" s="24">
        <v>40</v>
      </c>
      <c r="D84" s="40">
        <f>IF((D$40-($C83*D$43-SUM(D$45:D83)))&lt;0,0,(D$40-($C83*D$43-SUM(D$45:D83))))*$C$41/12</f>
        <v>2342.865905946413</v>
      </c>
      <c r="E84" s="40">
        <f>IF((E$40-($C83*E$43-SUM(E$45:E83)))&lt;0,0,(E$40-($C83*E$43-SUM(E$45:E83))))*$C$41/12</f>
        <v>2342.865905946413</v>
      </c>
      <c r="F84" s="40">
        <f>IF((F$40-($C83*F$43-SUM(F$45:F83)))&lt;0,0,(F$40-($C83*F$43-SUM(F$45:F83))))*$C$41/12</f>
        <v>3216.5852425753819</v>
      </c>
      <c r="G84" s="40">
        <f>IF((G$40-($C83*G$43-SUM(G$45:G83)))&lt;0,0,(G$40-($C83*G$43-SUM(G$45:G83))))*$C$41/12</f>
        <v>3412.3381936921014</v>
      </c>
      <c r="H84" s="40">
        <f>IF((H$40-($C83*H$43-SUM(H$45:H83)))&lt;0,0,(H$40-($C83*H$43-SUM(H$45:H83))))*$C$41/12</f>
        <v>4039.3894601649608</v>
      </c>
      <c r="I84" s="40">
        <f>IF((I$40-($C83*I$43-SUM(I$45:I83)))&lt;0,0,(I$40-($C83*I$43-SUM(I$45:I83))))*$C$41/12</f>
        <v>4883.4351038615841</v>
      </c>
      <c r="J84" s="40">
        <f>IF((J$40-($C83*J$43-SUM(J$45:J83)))&lt;0,0,(J$40-($C83*J$43-SUM(J$45:J83))))*$C$41/12</f>
        <v>7279.6548132098133</v>
      </c>
      <c r="K84" s="40">
        <f>IF((K$40-($C83*K$43-SUM(K$45:K83)))&lt;0,0,(K$40-($C83*K$43-SUM(K$45:K83))))*$C$41/12</f>
        <v>5914.7195357329738</v>
      </c>
      <c r="L84" s="40">
        <f>IF((L$40-($C83*L$43-SUM(L$45:L83)))&lt;0,0,(L$40-($C83*L$43-SUM(L$45:L83))))*$C$41/12</f>
        <v>0</v>
      </c>
    </row>
    <row r="85" spans="2:12" hidden="1" outlineLevel="1">
      <c r="B85" s="26" t="s">
        <v>102</v>
      </c>
      <c r="C85" s="26">
        <v>41</v>
      </c>
      <c r="D85" s="40">
        <f>IF((D$40-($C84*D$43-SUM(D$45:D84)))&lt;0,0,(D$40-($C84*D$43-SUM(D$45:D84))))*$C$41/12</f>
        <v>2241.1857000436253</v>
      </c>
      <c r="E85" s="40">
        <f>IF((E$40-($C84*E$43-SUM(E$45:E84)))&lt;0,0,(E$40-($C84*E$43-SUM(E$45:E84))))*$C$41/12</f>
        <v>2241.1857000436253</v>
      </c>
      <c r="F85" s="40">
        <f>IF((F$40-($C84*F$43-SUM(F$45:F84)))&lt;0,0,(F$40-($C84*F$43-SUM(F$45:F84))))*$C$41/12</f>
        <v>3076.9856825071697</v>
      </c>
      <c r="G85" s="40">
        <f>IF((G$40-($C84*G$43-SUM(G$45:G84)))&lt;0,0,(G$40-($C84*G$43-SUM(G$45:G84))))*$C$41/12</f>
        <v>3264.2429701183041</v>
      </c>
      <c r="H85" s="40">
        <f>IF((H$40-($C84*H$43-SUM(H$45:H84)))&lt;0,0,(H$40-($C84*H$43-SUM(H$45:H84))))*$C$41/12</f>
        <v>3864.0802583072432</v>
      </c>
      <c r="I85" s="40">
        <f>IF((I$40-($C84*I$43-SUM(I$45:I84)))&lt;0,0,(I$40-($C84*I$43-SUM(I$45:I84))))*$C$41/12</f>
        <v>4671.49438390264</v>
      </c>
      <c r="J85" s="40">
        <f>IF((J$40-($C84*J$43-SUM(J$45:J84)))&lt;0,0,(J$40-($C84*J$43-SUM(J$45:J84))))*$C$41/12</f>
        <v>6963.7183362523801</v>
      </c>
      <c r="K85" s="40">
        <f>IF((K$40-($C84*K$43-SUM(K$45:K84)))&lt;0,0,(K$40-($C84*K$43-SUM(K$45:K84))))*$C$41/12</f>
        <v>5658.021148205059</v>
      </c>
      <c r="L85" s="40">
        <f>IF((L$40-($C84*L$43-SUM(L$45:L84)))&lt;0,0,(L$40-($C84*L$43-SUM(L$45:L84))))*$C$41/12</f>
        <v>0</v>
      </c>
    </row>
    <row r="86" spans="2:12" hidden="1" outlineLevel="1">
      <c r="B86" s="26" t="s">
        <v>103</v>
      </c>
      <c r="C86" s="24">
        <v>42</v>
      </c>
      <c r="D86" s="40">
        <f>IF((D$40-($C85*D$43-SUM(D$45:D85)))&lt;0,0,(D$40-($C85*D$43-SUM(D$45:D85))))*$C$41/12</f>
        <v>2138.5734255867287</v>
      </c>
      <c r="E86" s="40">
        <f>IF((E$40-($C85*E$43-SUM(E$45:E85)))&lt;0,0,(E$40-($C85*E$43-SUM(E$45:E85))))*$C$41/12</f>
        <v>2138.5734255867287</v>
      </c>
      <c r="F86" s="40">
        <f>IF((F$40-($C85*F$43-SUM(F$45:F85)))&lt;0,0,(F$40-($C85*F$43-SUM(F$45:F85))))*$C$41/12</f>
        <v>2936.1064598049998</v>
      </c>
      <c r="G86" s="40">
        <f>IF((G$40-($C85*G$43-SUM(G$45:G85)))&lt;0,0,(G$40-($C85*G$43-SUM(G$45:G85))))*$C$41/12</f>
        <v>3114.7902069950815</v>
      </c>
      <c r="H86" s="40">
        <f>IF((H$40-($C85*H$43-SUM(H$45:H85)))&lt;0,0,(H$40-($C85*H$43-SUM(H$45:H85))))*$C$41/12</f>
        <v>3687.1640554324981</v>
      </c>
      <c r="I86" s="40">
        <f>IF((I$40-($C85*I$43-SUM(I$45:I85)))&lt;0,0,(I$40-($C85*I$43-SUM(I$45:I85))))*$C$41/12</f>
        <v>4457.6108740107375</v>
      </c>
      <c r="J86" s="40">
        <f>IF((J$40-($C85*J$43-SUM(J$45:J85)))&lt;0,0,(J$40-($C85*J$43-SUM(J$45:J85))))*$C$41/12</f>
        <v>6644.8857749228364</v>
      </c>
      <c r="K86" s="40">
        <f>IF((K$40-($C85*K$43-SUM(K$45:K85)))&lt;0,0,(K$40-($C85*K$43-SUM(K$45:K85))))*$C$41/12</f>
        <v>5398.969692124806</v>
      </c>
      <c r="L86" s="40">
        <f>IF((L$40-($C85*L$43-SUM(L$45:L85)))&lt;0,0,(L$40-($C85*L$43-SUM(L$45:L85))))*$C$41/12</f>
        <v>0</v>
      </c>
    </row>
    <row r="87" spans="2:12" hidden="1" outlineLevel="1">
      <c r="B87" s="26" t="s">
        <v>104</v>
      </c>
      <c r="C87" s="26">
        <v>43</v>
      </c>
      <c r="D87" s="40">
        <f>IF((D$40-($C86*D$43-SUM(D$45:D86)))&lt;0,0,(D$40-($C86*D$43-SUM(D$45:D86))))*$C$41/12</f>
        <v>2035.0205386139769</v>
      </c>
      <c r="E87" s="40">
        <f>IF((E$40-($C86*E$43-SUM(E$45:E86)))&lt;0,0,(E$40-($C86*E$43-SUM(E$45:E86))))*$C$41/12</f>
        <v>2035.0205386139769</v>
      </c>
      <c r="F87" s="40">
        <f>IF((F$40-($C86*F$43-SUM(F$45:F86)))&lt;0,0,(F$40-($C86*F$43-SUM(F$45:F86))))*$C$41/12</f>
        <v>2793.9358442280595</v>
      </c>
      <c r="G87" s="40">
        <f>IF((G$40-($C86*G$43-SUM(G$45:G86)))&lt;0,0,(G$40-($C86*G$43-SUM(G$45:G86))))*$C$41/12</f>
        <v>2963.9674602098953</v>
      </c>
      <c r="H87" s="40">
        <f>IF((H$40-($C86*H$43-SUM(H$45:H86)))&lt;0,0,(H$40-($C86*H$43-SUM(H$45:H86))))*$C$41/12</f>
        <v>3508.6261206980666</v>
      </c>
      <c r="I87" s="40">
        <f>IF((I$40-($C86*I$43-SUM(I$45:I86)))&lt;0,0,(I$40-($C86*I$43-SUM(I$45:I86))))*$C$41/12</f>
        <v>4241.7667652781602</v>
      </c>
      <c r="J87" s="40">
        <f>IF((J$40-($C86*J$43-SUM(J$45:J86)))&lt;0,0,(J$40-($C86*J$43-SUM(J$45:J86))))*$C$41/12</f>
        <v>6323.130581781108</v>
      </c>
      <c r="K87" s="40">
        <f>IF((K$40-($C86*K$43-SUM(K$45:K86)))&lt;0,0,(K$40-($C86*K$43-SUM(K$45:K86))))*$C$41/12</f>
        <v>5137.5435976971512</v>
      </c>
      <c r="L87" s="40">
        <f>IF((L$40-($C86*L$43-SUM(L$45:L86)))&lt;0,0,(L$40-($C86*L$43-SUM(L$45:L86))))*$C$41/12</f>
        <v>0</v>
      </c>
    </row>
    <row r="88" spans="2:12" hidden="1" outlineLevel="1">
      <c r="B88" s="26" t="s">
        <v>105</v>
      </c>
      <c r="C88" s="24">
        <v>44</v>
      </c>
      <c r="D88" s="40">
        <f>IF((D$40-($C87*D$43-SUM(D$45:D87)))&lt;0,0,(D$40-($C87*D$43-SUM(D$45:D87))))*$C$41/12</f>
        <v>1930.5184168439757</v>
      </c>
      <c r="E88" s="40">
        <f>IF((E$40-($C87*E$43-SUM(E$45:E87)))&lt;0,0,(E$40-($C87*E$43-SUM(E$45:E87))))*$C$41/12</f>
        <v>1930.5184168439757</v>
      </c>
      <c r="F88" s="40">
        <f>IF((F$40-($C87*F$43-SUM(F$45:F87)))&lt;0,0,(F$40-($C87*F$43-SUM(F$45:F87))))*$C$41/12</f>
        <v>2650.4619980083294</v>
      </c>
      <c r="G88" s="40">
        <f>IF((G$40-($C87*G$43-SUM(G$45:G87)))&lt;0,0,(G$40-($C87*G$43-SUM(G$45:G87))))*$C$41/12</f>
        <v>2811.7621715791793</v>
      </c>
      <c r="H88" s="40">
        <f>IF((H$40-($C87*H$43-SUM(H$45:H87)))&lt;0,0,(H$40-($C87*H$43-SUM(H$45:H87))))*$C$41/12</f>
        <v>3328.4515882285691</v>
      </c>
      <c r="I88" s="40">
        <f>IF((I$40-($C87*I$43-SUM(I$45:I87)))&lt;0,0,(I$40-($C87*I$43-SUM(I$45:I87))))*$C$41/12</f>
        <v>4023.9440855488688</v>
      </c>
      <c r="J88" s="40">
        <f>IF((J$40-($C87*J$43-SUM(J$45:J87)))&lt;0,0,(J$40-($C87*J$43-SUM(J$45:J87))))*$C$41/12</f>
        <v>5998.4259660355783</v>
      </c>
      <c r="K88" s="40">
        <f>IF((K$40-($C87*K$43-SUM(K$45:K87)))&lt;0,0,(K$40-($C87*K$43-SUM(K$45:K87))))*$C$41/12</f>
        <v>4873.7210974039108</v>
      </c>
      <c r="L88" s="40">
        <f>IF((L$40-($C87*L$43-SUM(L$45:L87)))&lt;0,0,(L$40-($C87*L$43-SUM(L$45:L87))))*$C$41/12</f>
        <v>0</v>
      </c>
    </row>
    <row r="89" spans="2:12" hidden="1" outlineLevel="1">
      <c r="B89" s="26" t="s">
        <v>106</v>
      </c>
      <c r="C89" s="26">
        <v>45</v>
      </c>
      <c r="D89" s="40">
        <f>IF((D$40-($C88*D$43-SUM(D$45:D88)))&lt;0,0,(D$40-($C88*D$43-SUM(D$45:D88))))*$C$41/12</f>
        <v>1825.0583589577491</v>
      </c>
      <c r="E89" s="40">
        <f>IF((E$40-($C88*E$43-SUM(E$45:E88)))&lt;0,0,(E$40-($C88*E$43-SUM(E$45:E88))))*$C$41/12</f>
        <v>1825.0583589577491</v>
      </c>
      <c r="F89" s="40">
        <f>IF((F$40-($C88*F$43-SUM(F$45:F88)))&lt;0,0,(F$40-($C88*F$43-SUM(F$45:F88))))*$C$41/12</f>
        <v>2505.6729748649191</v>
      </c>
      <c r="G89" s="40">
        <f>IF((G$40-($C88*G$43-SUM(G$45:G88)))&lt;0,0,(G$40-($C88*G$43-SUM(G$45:G88))))*$C$41/12</f>
        <v>2658.1616678026803</v>
      </c>
      <c r="H89" s="40">
        <f>IF((H$40-($C88*H$43-SUM(H$45:H88)))&lt;0,0,(H$40-($C88*H$43-SUM(H$45:H88))))*$C$41/12</f>
        <v>3146.6254558781002</v>
      </c>
      <c r="I89" s="40">
        <f>IF((I$40-($C88*I$43-SUM(I$45:I88)))&lt;0,0,(I$40-($C88*I$43-SUM(I$45:I88))))*$C$41/12</f>
        <v>3804.1246979220582</v>
      </c>
      <c r="J89" s="40">
        <f>IF((J$40-($C88*J$43-SUM(J$45:J88)))&lt;0,0,(J$40-($C88*J$43-SUM(J$45:J88))))*$C$41/12</f>
        <v>5670.7448913123835</v>
      </c>
      <c r="K89" s="40">
        <f>IF((K$40-($C88*K$43-SUM(K$45:K88)))&lt;0,0,(K$40-($C88*K$43-SUM(K$45:K88))))*$C$41/12</f>
        <v>4607.4802241913139</v>
      </c>
      <c r="L89" s="40">
        <f>IF((L$40-($C88*L$43-SUM(L$45:L88)))&lt;0,0,(L$40-($C88*L$43-SUM(L$45:L88))))*$C$41/12</f>
        <v>0</v>
      </c>
    </row>
    <row r="90" spans="2:12" hidden="1" outlineLevel="1">
      <c r="B90" s="26" t="s">
        <v>107</v>
      </c>
      <c r="C90" s="24">
        <v>46</v>
      </c>
      <c r="D90" s="40">
        <f>IF((D$40-($C89*D$43-SUM(D$45:D89)))&lt;0,0,(D$40-($C89*D$43-SUM(D$45:D89))))*$C$41/12</f>
        <v>1718.6315838742319</v>
      </c>
      <c r="E90" s="40">
        <f>IF((E$40-($C89*E$43-SUM(E$45:E89)))&lt;0,0,(E$40-($C89*E$43-SUM(E$45:E89))))*$C$41/12</f>
        <v>1718.6315838742319</v>
      </c>
      <c r="F90" s="40">
        <f>IF((F$40-($C89*F$43-SUM(F$45:F89)))&lt;0,0,(F$40-($C89*F$43-SUM(F$45:F89))))*$C$41/12</f>
        <v>2359.5567190093611</v>
      </c>
      <c r="G90" s="40">
        <f>IF((G$40-($C89*G$43-SUM(G$45:G89)))&lt;0,0,(G$40-($C89*G$43-SUM(G$45:G89))))*$C$41/12</f>
        <v>2503.1531594082312</v>
      </c>
      <c r="H90" s="40">
        <f>IF((H$40-($C89*H$43-SUM(H$45:H89)))&lt;0,0,(H$40-($C89*H$43-SUM(H$45:H89))))*$C$41/12</f>
        <v>2963.1325839810888</v>
      </c>
      <c r="I90" s="40">
        <f>IF((I$40-($C89*I$43-SUM(I$45:I89)))&lt;0,0,(I$40-($C89*I$43-SUM(I$45:I89))))*$C$41/12</f>
        <v>3582.2902992420018</v>
      </c>
      <c r="J90" s="40">
        <f>IF((J$40-($C89*J$43-SUM(J$45:J89)))&lt;0,0,(J$40-($C89*J$43-SUM(J$45:J89))))*$C$41/12</f>
        <v>5340.0600734042246</v>
      </c>
      <c r="K90" s="40">
        <f>IF((K$40-($C89*K$43-SUM(K$45:K89)))&lt;0,0,(K$40-($C89*K$43-SUM(K$45:K89))))*$C$41/12</f>
        <v>4338.7988096409345</v>
      </c>
      <c r="L90" s="40">
        <f>IF((L$40-($C89*L$43-SUM(L$45:L89)))&lt;0,0,(L$40-($C89*L$43-SUM(L$45:L89))))*$C$41/12</f>
        <v>0</v>
      </c>
    </row>
    <row r="91" spans="2:12" hidden="1" outlineLevel="1">
      <c r="B91" s="26" t="s">
        <v>108</v>
      </c>
      <c r="C91" s="26">
        <v>47</v>
      </c>
      <c r="D91" s="40">
        <f>IF((D$40-($C90*D$43-SUM(D$45:D90)))&lt;0,0,(D$40-($C90*D$43-SUM(D$45:D90))))*$C$41/12</f>
        <v>1611.2292300191166</v>
      </c>
      <c r="E91" s="40">
        <f>IF((E$40-($C90*E$43-SUM(E$45:E90)))&lt;0,0,(E$40-($C90*E$43-SUM(E$45:E90))))*$C$41/12</f>
        <v>1611.2292300191166</v>
      </c>
      <c r="F91" s="40">
        <f>IF((F$40-($C90*F$43-SUM(F$45:F90)))&lt;0,0,(F$40-($C90*F$43-SUM(F$45:F90))))*$C$41/12</f>
        <v>2212.1010641417929</v>
      </c>
      <c r="G91" s="40">
        <f>IF((G$40-($C90*G$43-SUM(G$45:G90)))&lt;0,0,(G$40-($C90*G$43-SUM(G$45:G90))))*$C$41/12</f>
        <v>2346.7237396868327</v>
      </c>
      <c r="H91" s="40">
        <f>IF((H$40-($C90*H$43-SUM(H$45:H90)))&lt;0,0,(H$40-($C90*H$43-SUM(H$45:H90))))*$C$41/12</f>
        <v>2777.9576940916845</v>
      </c>
      <c r="I91" s="40">
        <f>IF((I$40-($C90*I$43-SUM(I$45:I90)))&lt;0,0,(I$40-($C90*I$43-SUM(I$45:I90))))*$C$41/12</f>
        <v>3358.4224185740436</v>
      </c>
      <c r="J91" s="40">
        <f>IF((J$40-($C90*J$43-SUM(J$45:J90)))&lt;0,0,(J$40-($C90*J$43-SUM(J$45:J90))))*$C$41/12</f>
        <v>5006.3439779985729</v>
      </c>
      <c r="K91" s="40">
        <f>IF((K$40-($C90*K$43-SUM(K$45:K90)))&lt;0,0,(K$40-($C90*K$43-SUM(K$45:K90))))*$C$41/12</f>
        <v>4067.6544821238426</v>
      </c>
      <c r="L91" s="40">
        <f>IF((L$40-($C90*L$43-SUM(L$45:L90)))&lt;0,0,(L$40-($C90*L$43-SUM(L$45:L90))))*$C$41/12</f>
        <v>0</v>
      </c>
    </row>
    <row r="92" spans="2:12" hidden="1" outlineLevel="1">
      <c r="B92" s="26" t="s">
        <v>109</v>
      </c>
      <c r="C92" s="24">
        <v>48</v>
      </c>
      <c r="D92" s="40">
        <f>IF((D$40-($C91*D$43-SUM(D$45:D91)))&lt;0,0,(D$40-($C91*D$43-SUM(D$45:D91))))*$C$41/12</f>
        <v>1502.8423545869948</v>
      </c>
      <c r="E92" s="40">
        <f>IF((E$40-($C91*E$43-SUM(E$45:E91)))&lt;0,0,(E$40-($C91*E$43-SUM(E$45:E91))))*$C$41/12</f>
        <v>1502.8423545869948</v>
      </c>
      <c r="F92" s="40">
        <f>IF((F$40-($C91*F$43-SUM(F$45:F91)))&lt;0,0,(F$40-($C91*F$43-SUM(F$45:F91))))*$C$41/12</f>
        <v>2063.2937324379395</v>
      </c>
      <c r="G92" s="40">
        <f>IF((G$40-($C91*G$43-SUM(G$45:G91)))&lt;0,0,(G$40-($C91*G$43-SUM(G$45:G91))))*$C$41/12</f>
        <v>2188.8603836179886</v>
      </c>
      <c r="H92" s="40">
        <f>IF((H$40-($C91*H$43-SUM(H$45:H91)))&lt;0,0,(H$40-($C91*H$43-SUM(H$45:H91))))*$C$41/12</f>
        <v>2591.0853677116297</v>
      </c>
      <c r="I92" s="40">
        <f>IF((I$40-($C91*I$43-SUM(I$45:I91)))&lt;0,0,(I$40-($C91*I$43-SUM(I$45:I91))))*$C$41/12</f>
        <v>3132.50241566663</v>
      </c>
      <c r="J92" s="40">
        <f>IF((J$40-($C91*J$43-SUM(J$45:J91)))&lt;0,0,(J$40-($C91*J$43-SUM(J$45:J91))))*$C$41/12</f>
        <v>4669.5688183850389</v>
      </c>
      <c r="K92" s="40">
        <f>IF((K$40-($C91*K$43-SUM(K$45:K91)))&lt;0,0,(K$40-($C91*K$43-SUM(K$45:K91))))*$C$41/12</f>
        <v>3794.0246649378446</v>
      </c>
      <c r="L92" s="40">
        <f>IF((L$40-($C91*L$43-SUM(L$45:L91)))&lt;0,0,(L$40-($C91*L$43-SUM(L$45:L91))))*$C$41/12</f>
        <v>0</v>
      </c>
    </row>
    <row r="93" spans="2:12" hidden="1" outlineLevel="1">
      <c r="B93" s="26" t="s">
        <v>110</v>
      </c>
      <c r="C93" s="26">
        <v>49</v>
      </c>
      <c r="D93" s="40">
        <f>IF((D$40-($C92*D$43-SUM(D$45:D92)))&lt;0,0,(D$40-($C92*D$43-SUM(D$45:D92))))*$C$41/12</f>
        <v>1393.4619327967459</v>
      </c>
      <c r="E93" s="40">
        <f>IF((E$40-($C92*E$43-SUM(E$45:E92)))&lt;0,0,(E$40-($C92*E$43-SUM(E$45:E92))))*$C$41/12</f>
        <v>1393.4619327967459</v>
      </c>
      <c r="F93" s="40">
        <f>IF((F$40-($C92*F$43-SUM(F$45:F92)))&lt;0,0,(F$40-($C92*F$43-SUM(F$45:F92))))*$C$41/12</f>
        <v>1913.1223335268003</v>
      </c>
      <c r="G93" s="40">
        <f>IF((G$40-($C92*G$43-SUM(G$45:G92)))&lt;0,0,(G$40-($C92*G$43-SUM(G$45:G92))))*$C$41/12</f>
        <v>2029.5499467851787</v>
      </c>
      <c r="H93" s="40">
        <f>IF((H$40-($C92*H$43-SUM(H$45:H92)))&lt;0,0,(H$40-($C92*H$43-SUM(H$45:H92))))*$C$41/12</f>
        <v>2402.5000450064231</v>
      </c>
      <c r="I93" s="40">
        <f>IF((I$40-($C92*I$43-SUM(I$45:I92)))&lt;0,0,(I$40-($C92*I$43-SUM(I$45:I92))))*$C$41/12</f>
        <v>2904.511479399232</v>
      </c>
      <c r="J93" s="40">
        <f>IF((J$40-($C92*J$43-SUM(J$45:J92)))&lt;0,0,(J$40-($C92*J$43-SUM(J$45:J92))))*$C$41/12</f>
        <v>4329.706553141712</v>
      </c>
      <c r="K93" s="40">
        <f>IF((K$40-($C92*K$43-SUM(K$45:K92)))&lt;0,0,(K$40-($C92*K$43-SUM(K$45:K92))))*$C$41/12</f>
        <v>3517.8865744276441</v>
      </c>
      <c r="L93" s="40">
        <f>IF((L$40-($C92*L$43-SUM(L$45:L92)))&lt;0,0,(L$40-($C92*L$43-SUM(L$45:L92))))*$C$41/12</f>
        <v>0</v>
      </c>
    </row>
    <row r="94" spans="2:12" hidden="1" outlineLevel="1">
      <c r="B94" s="26" t="s">
        <v>111</v>
      </c>
      <c r="C94" s="24">
        <v>50</v>
      </c>
      <c r="D94" s="40">
        <f>IF((D$40-($C93*D$43-SUM(D$45:D93)))&lt;0,0,(D$40-($C93*D$43-SUM(D$45:D93))))*$C$41/12</f>
        <v>1283.0788571400872</v>
      </c>
      <c r="E94" s="40">
        <f>IF((E$40-($C93*E$43-SUM(E$45:E93)))&lt;0,0,(E$40-($C93*E$43-SUM(E$45:E93))))*$C$41/12</f>
        <v>1283.0788571400872</v>
      </c>
      <c r="F94" s="40">
        <f>IF((F$40-($C93*F$43-SUM(F$45:F93)))&lt;0,0,(F$40-($C93*F$43-SUM(F$45:F93))))*$C$41/12</f>
        <v>1761.5743634589762</v>
      </c>
      <c r="G94" s="40">
        <f>IF((G$40-($C93*G$43-SUM(G$45:G93)))&lt;0,0,(G$40-($C93*G$43-SUM(G$45:G93))))*$C$41/12</f>
        <v>1868.7791642814034</v>
      </c>
      <c r="H94" s="40">
        <f>IF((H$40-($C93*H$43-SUM(H$45:H93)))&lt;0,0,(H$40-($C93*H$43-SUM(H$45:H93))))*$C$41/12</f>
        <v>2212.1860235097511</v>
      </c>
      <c r="I94" s="40">
        <f>IF((I$40-($C93*I$43-SUM(I$45:I93)))&lt;0,0,(I$40-($C93*I$43-SUM(I$45:I93))))*$C$41/12</f>
        <v>2674.4306262160521</v>
      </c>
      <c r="J94" s="40">
        <f>IF((J$40-($C93*J$43-SUM(J$45:J93)))&lt;0,0,(J$40-($C93*J$43-SUM(J$45:J93))))*$C$41/12</f>
        <v>3986.7288838003246</v>
      </c>
      <c r="K94" s="40">
        <f>IF((K$40-($C93*K$43-SUM(K$45:K93)))&lt;0,0,(K$40-($C93*K$43-SUM(K$45:K93))))*$C$41/12</f>
        <v>3239.2172180877646</v>
      </c>
      <c r="L94" s="40">
        <f>IF((L$40-($C93*L$43-SUM(L$45:L93)))&lt;0,0,(L$40-($C93*L$43-SUM(L$45:L93))))*$C$41/12</f>
        <v>0</v>
      </c>
    </row>
    <row r="95" spans="2:12" hidden="1" outlineLevel="1">
      <c r="B95" s="26" t="s">
        <v>112</v>
      </c>
      <c r="C95" s="26">
        <v>51</v>
      </c>
      <c r="D95" s="40">
        <f>IF((D$40-($C94*D$43-SUM(D$45:D94)))&lt;0,0,(D$40-($C94*D$43-SUM(D$45:D94))))*$C$41/12</f>
        <v>1171.6839366232407</v>
      </c>
      <c r="E95" s="40">
        <f>IF((E$40-($C94*E$43-SUM(E$45:E94)))&lt;0,0,(E$40-($C94*E$43-SUM(E$45:E94))))*$C$41/12</f>
        <v>1171.6839366232407</v>
      </c>
      <c r="F95" s="40">
        <f>IF((F$40-($C94*F$43-SUM(F$45:F94)))&lt;0,0,(F$40-($C94*F$43-SUM(F$45:F94))))*$C$41/12</f>
        <v>1608.6372036655305</v>
      </c>
      <c r="G95" s="40">
        <f>IF((G$40-($C94*G$43-SUM(G$45:G94)))&lt;0,0,(G$40-($C94*G$43-SUM(G$45:G94))))*$C$41/12</f>
        <v>1706.5346496046748</v>
      </c>
      <c r="H95" s="40">
        <f>IF((H$40-($C94*H$43-SUM(H$45:H94)))&lt;0,0,(H$40-($C94*H$43-SUM(H$45:H94))))*$C$41/12</f>
        <v>2020.1274568160291</v>
      </c>
      <c r="I95" s="40">
        <f>IF((I$40-($C94*I$43-SUM(I$45:I94)))&lt;0,0,(I$40-($C94*I$43-SUM(I$45:I94))))*$C$41/12</f>
        <v>2442.2406985453563</v>
      </c>
      <c r="J95" s="40">
        <f>IF((J$40-($C94*J$43-SUM(J$45:J94)))&lt;0,0,(J$40-($C94*J$43-SUM(J$45:J94))))*$C$41/12</f>
        <v>3640.6072524899696</v>
      </c>
      <c r="K95" s="40">
        <f>IF((K$40-($C94*K$43-SUM(K$45:K94)))&lt;0,0,(K$40-($C94*K$43-SUM(K$45:K94))))*$C$41/12</f>
        <v>2957.9933926481031</v>
      </c>
      <c r="L95" s="40">
        <f>IF((L$40-($C94*L$43-SUM(L$45:L94)))&lt;0,0,(L$40-($C94*L$43-SUM(L$45:L94))))*$C$41/12</f>
        <v>0</v>
      </c>
    </row>
    <row r="96" spans="2:12" hidden="1" outlineLevel="1">
      <c r="B96" s="26" t="s">
        <v>113</v>
      </c>
      <c r="C96" s="24">
        <v>52</v>
      </c>
      <c r="D96" s="40">
        <f>IF((D$40-($C95*D$43-SUM(D$45:D95)))&lt;0,0,(D$40-($C95*D$43-SUM(D$45:D95))))*$C$41/12</f>
        <v>1059.2678960016583</v>
      </c>
      <c r="E96" s="40">
        <f>IF((E$40-($C95*E$43-SUM(E$45:E95)))&lt;0,0,(E$40-($C95*E$43-SUM(E$45:E95))))*$C$41/12</f>
        <v>1059.2678960016583</v>
      </c>
      <c r="F96" s="40">
        <f>IF((F$40-($C95*F$43-SUM(F$45:F95)))&lt;0,0,(F$40-($C95*F$43-SUM(F$45:F95))))*$C$41/12</f>
        <v>1454.2981199073104</v>
      </c>
      <c r="G96" s="40">
        <f>IF((G$40-($C95*G$43-SUM(G$45:G95)))&lt;0,0,(G$40-($C95*G$43-SUM(G$45:G95))))*$C$41/12</f>
        <v>1542.8028935434104</v>
      </c>
      <c r="H96" s="40">
        <f>IF((H$40-($C95*H$43-SUM(H$45:H95)))&lt;0,0,(H$40-($C95*H$43-SUM(H$45:H95))))*$C$41/12</f>
        <v>1826.3083532609473</v>
      </c>
      <c r="I96" s="40">
        <f>IF((I$40-($C95*I$43-SUM(I$45:I95)))&lt;0,0,(I$40-($C95*I$43-SUM(I$45:I95))))*$C$41/12</f>
        <v>2207.9223632043477</v>
      </c>
      <c r="J96" s="40">
        <f>IF((J$40-($C95*J$43-SUM(J$45:J95)))&lt;0,0,(J$40-($C95*J$43-SUM(J$45:J95))))*$C$41/12</f>
        <v>3291.3128395592739</v>
      </c>
      <c r="K96" s="40">
        <f>IF((K$40-($C95*K$43-SUM(K$45:K95)))&lt;0,0,(K$40-($C95*K$43-SUM(K$45:K95))))*$C$41/12</f>
        <v>2674.1916821419104</v>
      </c>
      <c r="L96" s="40">
        <f>IF((L$40-($C95*L$43-SUM(L$45:L95)))&lt;0,0,(L$40-($C95*L$43-SUM(L$45:L95))))*$C$41/12</f>
        <v>0</v>
      </c>
    </row>
    <row r="97" spans="2:12" hidden="1" outlineLevel="1">
      <c r="B97" s="26" t="s">
        <v>114</v>
      </c>
      <c r="C97" s="26">
        <v>53</v>
      </c>
      <c r="D97" s="40">
        <f>IF((D$40-($C96*D$43-SUM(D$45:D96)))&lt;0,0,(D$40-($C96*D$43-SUM(D$45:D96))))*$C$41/12</f>
        <v>945.82137500771034</v>
      </c>
      <c r="E97" s="40">
        <f>IF((E$40-($C96*E$43-SUM(E$45:E96)))&lt;0,0,(E$40-($C96*E$43-SUM(E$45:E96))))*$C$41/12</f>
        <v>945.82137500771034</v>
      </c>
      <c r="F97" s="40">
        <f>IF((F$40-($C96*F$43-SUM(F$45:F96)))&lt;0,0,(F$40-($C96*F$43-SUM(F$45:F96))))*$C$41/12</f>
        <v>1298.5442612146405</v>
      </c>
      <c r="G97" s="40">
        <f>IF((G$40-($C96*G$43-SUM(G$45:G96)))&lt;0,0,(G$40-($C96*G$43-SUM(G$45:G96))))*$C$41/12</f>
        <v>1377.5702630515841</v>
      </c>
      <c r="H97" s="40">
        <f>IF((H$40-($C96*H$43-SUM(H$45:H96)))&lt;0,0,(H$40-($C96*H$43-SUM(H$45:H96))))*$C$41/12</f>
        <v>1630.7125745899423</v>
      </c>
      <c r="I97" s="40">
        <f>IF((I$40-($C96*I$43-SUM(I$45:I96)))&lt;0,0,(I$40-($C96*I$43-SUM(I$45:I96))))*$C$41/12</f>
        <v>1971.4561097893773</v>
      </c>
      <c r="J97" s="40">
        <f>IF((J$40-($C96*J$43-SUM(J$45:J96)))&lt;0,0,(J$40-($C96*J$43-SUM(J$45:J96))))*$C$41/12</f>
        <v>2938.8165611767113</v>
      </c>
      <c r="K97" s="40">
        <f>IF((K$40-($C96*K$43-SUM(K$45:K96)))&lt;0,0,(K$40-($C96*K$43-SUM(K$45:K96))))*$C$41/12</f>
        <v>2387.7884559560798</v>
      </c>
      <c r="L97" s="40">
        <f>IF((L$40-($C96*L$43-SUM(L$45:L96)))&lt;0,0,(L$40-($C96*L$43-SUM(L$45:L96))))*$C$41/12</f>
        <v>0</v>
      </c>
    </row>
    <row r="98" spans="2:12" hidden="1" outlineLevel="1">
      <c r="B98" s="26" t="s">
        <v>115</v>
      </c>
      <c r="C98" s="24">
        <v>54</v>
      </c>
      <c r="D98" s="40">
        <f>IF((D$40-($C97*D$43-SUM(D$45:D97)))&lt;0,0,(D$40-($C97*D$43-SUM(D$45:D97))))*$C$41/12</f>
        <v>831.33492757131796</v>
      </c>
      <c r="E98" s="40">
        <f>IF((E$40-($C97*E$43-SUM(E$45:E97)))&lt;0,0,(E$40-($C97*E$43-SUM(E$45:E97))))*$C$41/12</f>
        <v>831.33492757131796</v>
      </c>
      <c r="F98" s="40">
        <f>IF((F$40-($C97*F$43-SUM(F$45:F97)))&lt;0,0,(F$40-($C97*F$43-SUM(F$45:F97))))*$C$41/12</f>
        <v>1141.3626588172883</v>
      </c>
      <c r="G98" s="40">
        <f>IF((G$40-($C97*G$43-SUM(G$45:G97)))&lt;0,0,(G$40-($C97*G$43-SUM(G$45:G97))))*$C$41/12</f>
        <v>1210.8230001135837</v>
      </c>
      <c r="H98" s="40">
        <f>IF((H$40-($C97*H$43-SUM(H$45:H97)))&lt;0,0,(H$40-($C97*H$43-SUM(H$45:H97))))*$C$41/12</f>
        <v>1433.3238346144556</v>
      </c>
      <c r="I98" s="40">
        <f>IF((I$40-($C97*I$43-SUM(I$45:I97)))&lt;0,0,(I$40-($C97*I$43-SUM(I$45:I97))))*$C$41/12</f>
        <v>1732.8222490514381</v>
      </c>
      <c r="J98" s="40">
        <f>IF((J$40-($C97*J$43-SUM(J$45:J97)))&lt;0,0,(J$40-($C97*J$43-SUM(J$45:J97))))*$C$41/12</f>
        <v>2583.0890669089772</v>
      </c>
      <c r="K98" s="40">
        <f>IF((K$40-($C97*K$43-SUM(K$45:K97)))&lt;0,0,(K$40-($C97*K$43-SUM(K$45:K97))))*$C$41/12</f>
        <v>2098.7598668635433</v>
      </c>
      <c r="L98" s="40">
        <f>IF((L$40-($C97*L$43-SUM(L$45:L97)))&lt;0,0,(L$40-($C97*L$43-SUM(L$45:L97))))*$C$41/12</f>
        <v>0</v>
      </c>
    </row>
    <row r="99" spans="2:12" hidden="1" outlineLevel="1">
      <c r="B99" s="26" t="s">
        <v>116</v>
      </c>
      <c r="C99" s="26">
        <v>55</v>
      </c>
      <c r="D99" s="40">
        <f>IF((D$40-($C98*D$43-SUM(D$45:D98)))&lt;0,0,(D$40-($C98*D$43-SUM(D$45:D98))))*$C$41/12</f>
        <v>715.79902103342522</v>
      </c>
      <c r="E99" s="40">
        <f>IF((E$40-($C98*E$43-SUM(E$45:E98)))&lt;0,0,(E$40-($C98*E$43-SUM(E$45:E98))))*$C$41/12</f>
        <v>715.79902103342522</v>
      </c>
      <c r="F99" s="40">
        <f>IF((F$40-($C98*F$43-SUM(F$45:F98)))&lt;0,0,(F$40-($C98*F$43-SUM(F$45:F98))))*$C$41/12</f>
        <v>982.740225064627</v>
      </c>
      <c r="G99" s="40">
        <f>IF((G$40-($C98*G$43-SUM(G$45:G98)))&lt;0,0,(G$40-($C98*G$43-SUM(G$45:G98))))*$C$41/12</f>
        <v>1042.5472205986518</v>
      </c>
      <c r="H99" s="40">
        <f>IF((H$40-($C98*H$43-SUM(H$45:H98)))&lt;0,0,(H$40-($C98*H$43-SUM(H$45:H98))))*$C$41/12</f>
        <v>1234.1256978558586</v>
      </c>
      <c r="I99" s="40">
        <f>IF((I$40-($C98*I$43-SUM(I$45:I98)))&lt;0,0,(I$40-($C98*I$43-SUM(I$45:I98))))*$C$41/12</f>
        <v>1492.0009112567338</v>
      </c>
      <c r="J99" s="40">
        <f>IF((J$40-($C98*J$43-SUM(J$45:J98)))&lt;0,0,(J$40-($C98*J$43-SUM(J$45:J98))))*$C$41/12</f>
        <v>2224.1007372771173</v>
      </c>
      <c r="K99" s="40">
        <f>IF((K$40-($C98*K$43-SUM(K$45:K98)))&lt;0,0,(K$40-($C98*K$43-SUM(K$45:K98))))*$C$41/12</f>
        <v>1807.0818490376621</v>
      </c>
      <c r="L99" s="40">
        <f>IF((L$40-($C98*L$43-SUM(L$45:L98)))&lt;0,0,(L$40-($C98*L$43-SUM(L$45:L98))))*$C$41/12</f>
        <v>0</v>
      </c>
    </row>
    <row r="100" spans="2:12" hidden="1" outlineLevel="1">
      <c r="B100" s="26" t="s">
        <v>117</v>
      </c>
      <c r="C100" s="24">
        <v>56</v>
      </c>
      <c r="D100" s="40">
        <f>IF((D$40-($C99*D$43-SUM(D$45:D99)))&lt;0,0,(D$40-($C99*D$43-SUM(D$45:D99))))*$C$41/12</f>
        <v>599.20403535226842</v>
      </c>
      <c r="E100" s="40">
        <f>IF((E$40-($C99*E$43-SUM(E$45:E99)))&lt;0,0,(E$40-($C99*E$43-SUM(E$45:E99))))*$C$41/12</f>
        <v>599.20403535226842</v>
      </c>
      <c r="F100" s="40">
        <f>IF((F$40-($C99*F$43-SUM(F$45:F99)))&lt;0,0,(F$40-($C99*F$43-SUM(F$45:F99))))*$C$41/12</f>
        <v>822.66375233589997</v>
      </c>
      <c r="G100" s="40">
        <f>IF((G$40-($C99*G$43-SUM(G$45:G99)))&lt;0,0,(G$40-($C99*G$43-SUM(G$45:G99))))*$C$41/12</f>
        <v>872.72891310483237</v>
      </c>
      <c r="H100" s="40">
        <f>IF((H$40-($C99*H$43-SUM(H$45:H99)))&lt;0,0,(H$40-($C99*H$43-SUM(H$45:H99))))*$C$41/12</f>
        <v>1033.1015781769731</v>
      </c>
      <c r="I100" s="40">
        <f>IF((I$40-($C99*I$43-SUM(I$45:I99)))&lt;0,0,(I$40-($C99*I$43-SUM(I$45:I99))))*$C$41/12</f>
        <v>1248.9720445322453</v>
      </c>
      <c r="J100" s="40">
        <f>IF((J$40-($C99*J$43-SUM(J$45:J99)))&lt;0,0,(J$40-($C99*J$43-SUM(J$45:J99))))*$C$41/12</f>
        <v>1861.821681290302</v>
      </c>
      <c r="K100" s="40">
        <f>IF((K$40-($C99*K$43-SUM(K$45:K99)))&lt;0,0,(K$40-($C99*K$43-SUM(K$45:K99))))*$C$41/12</f>
        <v>1512.7301160483751</v>
      </c>
      <c r="L100" s="40">
        <f>IF((L$40-($C99*L$43-SUM(L$45:L99)))&lt;0,0,(L$40-($C99*L$43-SUM(L$45:L99))))*$C$41/12</f>
        <v>0</v>
      </c>
    </row>
    <row r="101" spans="2:12" hidden="1" outlineLevel="1">
      <c r="B101" s="26" t="s">
        <v>118</v>
      </c>
      <c r="C101" s="26">
        <v>57</v>
      </c>
      <c r="D101" s="40">
        <f>IF((D$40-($C100*D$43-SUM(D$45:D100)))&lt;0,0,(D$40-($C100*D$43-SUM(D$45:D100))))*$C$41/12</f>
        <v>481.54026230236809</v>
      </c>
      <c r="E101" s="40">
        <f>IF((E$40-($C100*E$43-SUM(E$45:E100)))&lt;0,0,(E$40-($C100*E$43-SUM(E$45:E100))))*$C$41/12</f>
        <v>481.54026230236809</v>
      </c>
      <c r="F101" s="40">
        <f>IF((F$40-($C100*F$43-SUM(F$45:F100)))&lt;0,0,(F$40-($C100*F$43-SUM(F$45:F100))))*$C$41/12</f>
        <v>661.11991194049267</v>
      </c>
      <c r="G101" s="40">
        <f>IF((G$40-($C100*G$43-SUM(G$45:G100)))&lt;0,0,(G$40-($C100*G$43-SUM(G$45:G100))))*$C$41/12</f>
        <v>701.35393779231947</v>
      </c>
      <c r="H101" s="40">
        <f>IF((H$40-($C100*H$43-SUM(H$45:H100)))&lt;0,0,(H$40-($C100*H$43-SUM(H$45:H100))))*$C$41/12</f>
        <v>830.23473740103327</v>
      </c>
      <c r="I101" s="40">
        <f>IF((I$40-($C100*I$43-SUM(I$45:I100)))&lt;0,0,(I$40-($C100*I$43-SUM(I$45:I100))))*$C$41/12</f>
        <v>1003.7154131961148</v>
      </c>
      <c r="J101" s="40">
        <f>IF((J$40-($C100*J$43-SUM(J$45:J100)))&lt;0,0,(J$40-($C100*J$43-SUM(J$45:J100))))*$C$41/12</f>
        <v>1496.221733956939</v>
      </c>
      <c r="K101" s="40">
        <f>IF((K$40-($C100*K$43-SUM(K$45:K100)))&lt;0,0,(K$40-($C100*K$43-SUM(K$45:K100))))*$C$41/12</f>
        <v>1215.6801588400197</v>
      </c>
      <c r="L101" s="40">
        <f>IF((L$40-($C100*L$43-SUM(L$45:L100)))&lt;0,0,(L$40-($C100*L$43-SUM(L$45:L100))))*$C$41/12</f>
        <v>0</v>
      </c>
    </row>
    <row r="102" spans="2:12" hidden="1" outlineLevel="1">
      <c r="B102" s="26" t="s">
        <v>119</v>
      </c>
      <c r="C102" s="24">
        <v>58</v>
      </c>
      <c r="D102" s="40">
        <f>IF((D$40-($C101*D$43-SUM(D$45:D101)))&lt;0,0,(D$40-($C101*D$43-SUM(D$45:D101))))*$C$41/12</f>
        <v>362.79790466617646</v>
      </c>
      <c r="E102" s="40">
        <f>IF((E$40-($C101*E$43-SUM(E$45:E101)))&lt;0,0,(E$40-($C101*E$43-SUM(E$45:E101))))*$C$41/12</f>
        <v>362.79790466617646</v>
      </c>
      <c r="F102" s="40">
        <f>IF((F$40-($C101*F$43-SUM(F$45:F101)))&lt;0,0,(F$40-($C101*F$43-SUM(F$45:F101))))*$C$41/12</f>
        <v>498.09525300812749</v>
      </c>
      <c r="G102" s="40">
        <f>IF((G$40-($C101*G$43-SUM(G$45:G101)))&lt;0,0,(G$40-($C101*G$43-SUM(G$45:G101))))*$C$41/12</f>
        <v>528.40802520610885</v>
      </c>
      <c r="H102" s="40">
        <f>IF((H$40-($C101*H$43-SUM(H$45:H101)))&lt;0,0,(H$40-($C101*H$43-SUM(H$45:H101))))*$C$41/12</f>
        <v>625.50828391798166</v>
      </c>
      <c r="I102" s="40">
        <f>IF((I$40-($C101*I$43-SUM(I$45:I101)))&lt;0,0,(I$40-($C101*I$43-SUM(I$45:I101))))*$C$41/12</f>
        <v>756.21059607273821</v>
      </c>
      <c r="J102" s="40">
        <f>IF((J$40-($C101*J$43-SUM(J$45:J101)))&lt;0,0,(J$40-($C101*J$43-SUM(J$45:J101))))*$C$41/12</f>
        <v>1127.2704537730231</v>
      </c>
      <c r="K102" s="40">
        <f>IF((K$40-($C101*K$43-SUM(K$45:K101)))&lt;0,0,(K$40-($C101*K$43-SUM(K$45:K101))))*$C$41/12</f>
        <v>915.90724369058535</v>
      </c>
      <c r="L102" s="40">
        <f>IF((L$40-($C101*L$43-SUM(L$45:L101)))&lt;0,0,(L$40-($C101*L$43-SUM(L$45:L101))))*$C$41/12</f>
        <v>0</v>
      </c>
    </row>
    <row r="103" spans="2:12" hidden="1" outlineLevel="1">
      <c r="B103" s="26" t="s">
        <v>120</v>
      </c>
      <c r="C103" s="26">
        <v>59</v>
      </c>
      <c r="D103" s="40">
        <f>IF((D$40-($C102*D$43-SUM(D$45:D102)))&lt;0,0,(D$40-($C102*D$43-SUM(D$45:D102))))*$C$41/12</f>
        <v>242.96707541831952</v>
      </c>
      <c r="E103" s="40">
        <f>IF((E$40-($C102*E$43-SUM(E$45:E102)))&lt;0,0,(E$40-($C102*E$43-SUM(E$45:E102))))*$C$41/12</f>
        <v>242.96707541831952</v>
      </c>
      <c r="F103" s="40">
        <f>IF((F$40-($C102*F$43-SUM(F$45:F102)))&lt;0,0,(F$40-($C102*F$43-SUM(F$45:F102))))*$C$41/12</f>
        <v>333.57620136888141</v>
      </c>
      <c r="G103" s="40">
        <f>IF((G$40-($C102*G$43-SUM(G$45:G102)))&lt;0,0,(G$40-($C102*G$43-SUM(G$45:G102))))*$C$41/12</f>
        <v>353.87677508785697</v>
      </c>
      <c r="H103" s="40">
        <f>IF((H$40-($C102*H$43-SUM(H$45:H102)))&lt;0,0,(H$40-($C102*H$43-SUM(H$45:H102))))*$C$41/12</f>
        <v>418.90517127799853</v>
      </c>
      <c r="I103" s="40">
        <f>IF((I$40-($C102*I$43-SUM(I$45:I102)))&lt;0,0,(I$40-($C102*I$43-SUM(I$45:I102))))*$C$41/12</f>
        <v>506.436984792396</v>
      </c>
      <c r="J103" s="40">
        <f>IF((J$40-($C102*J$43-SUM(J$45:J102)))&lt;0,0,(J$40-($C102*J$43-SUM(J$45:J102))))*$C$41/12</f>
        <v>754.93712018741917</v>
      </c>
      <c r="K103" s="40">
        <f>IF((K$40-($C102*K$43-SUM(K$45:K102)))&lt;0,0,(K$40-($C102*K$43-SUM(K$45:K102))))*$C$41/12</f>
        <v>613.38641015228234</v>
      </c>
      <c r="L103" s="40">
        <f>IF((L$40-($C102*L$43-SUM(L$45:L102)))&lt;0,0,(L$40-($C102*L$43-SUM(L$45:L102))))*$C$41/12</f>
        <v>0</v>
      </c>
    </row>
    <row r="104" spans="2:12" hidden="1" outlineLevel="1">
      <c r="B104" s="26" t="s">
        <v>121</v>
      </c>
      <c r="C104" s="26">
        <v>60</v>
      </c>
      <c r="D104" s="40">
        <f>IF((D$40-($C103*D$43-SUM(D$45:D103)))&lt;0,0,(D$40-($C103*D$43-SUM(D$45:D103))))*$C$41/12</f>
        <v>122.03779690235746</v>
      </c>
      <c r="E104" s="40">
        <f>IF((E$40-($C103*E$43-SUM(E$45:E103)))&lt;0,0,(E$40-($C103*E$43-SUM(E$45:E103))))*$C$41/12</f>
        <v>122.03779690235746</v>
      </c>
      <c r="F104" s="40">
        <f>IF((F$40-($C103*F$43-SUM(F$45:F103)))&lt;0,0,(F$40-($C103*F$43-SUM(F$45:F103))))*$C$41/12</f>
        <v>167.54905842294335</v>
      </c>
      <c r="G104" s="40">
        <f>IF((G$40-($C103*G$43-SUM(G$45:G103)))&lt;0,0,(G$40-($C103*G$43-SUM(G$45:G103))))*$C$41/12</f>
        <v>177.74565517685434</v>
      </c>
      <c r="H104" s="40">
        <f>IF((H$40-($C103*H$43-SUM(H$45:H103)))&lt;0,0,(H$40-($C103*H$43-SUM(H$45:H103))))*$C$41/12</f>
        <v>210.40819677215208</v>
      </c>
      <c r="I104" s="40">
        <f>IF((I$40-($C103*I$43-SUM(I$45:I103)))&lt;0,0,(I$40-($C103*I$43-SUM(I$45:I103))))*$C$41/12</f>
        <v>254.37378207531913</v>
      </c>
      <c r="J104" s="40">
        <f>IF((J$40-($C103*J$43-SUM(J$45:J103)))&lt;0,0,(J$40-($C103*J$43-SUM(J$45:J103))))*$C$41/12</f>
        <v>379.19073104394914</v>
      </c>
      <c r="K104" s="40">
        <f>IF((K$40-($C103*K$43-SUM(K$45:K103)))&lt;0,0,(K$40-($C103*K$43-SUM(K$45:K103))))*$C$41/12</f>
        <v>308.09246897321293</v>
      </c>
      <c r="L104" s="40">
        <f>IF((L$40-($C103*L$43-SUM(L$45:L103)))&lt;0,0,(L$40-($C103*L$43-SUM(L$45:L103))))*$C$41/12</f>
        <v>0</v>
      </c>
    </row>
    <row r="105" spans="2:12" hidden="1" outlineLevel="1">
      <c r="B105" s="26" t="s">
        <v>122</v>
      </c>
      <c r="C105" s="26"/>
      <c r="D105" s="40">
        <f>SUM(D45:D56)</f>
        <v>63124.017508280027</v>
      </c>
      <c r="E105" s="40">
        <f t="shared" ref="E105:J105" si="22">SUM(E45:E56)</f>
        <v>63124.017508280027</v>
      </c>
      <c r="F105" s="40">
        <f t="shared" si="22"/>
        <v>86664.705245767371</v>
      </c>
      <c r="G105" s="40">
        <f t="shared" si="22"/>
        <v>91938.892164543475</v>
      </c>
      <c r="H105" s="40">
        <f t="shared" si="22"/>
        <v>108833.5829887</v>
      </c>
      <c r="I105" s="40">
        <f t="shared" si="22"/>
        <v>131574.77011992445</v>
      </c>
      <c r="J105" s="40">
        <f t="shared" si="22"/>
        <v>196136.30328435937</v>
      </c>
      <c r="K105" s="40">
        <f>SUM(K45:K56)</f>
        <v>159360.74641854202</v>
      </c>
      <c r="L105" s="40">
        <f>SUM(L45:L56)</f>
        <v>0</v>
      </c>
    </row>
    <row r="106" spans="2:12" hidden="1" outlineLevel="1">
      <c r="B106" s="26" t="s">
        <v>123</v>
      </c>
      <c r="C106" s="26"/>
      <c r="D106" s="40">
        <f>SUM(D57:D68)</f>
        <v>51772.114638996631</v>
      </c>
      <c r="E106" s="40">
        <f t="shared" ref="E106:J106" si="23">SUM(E57:E68)</f>
        <v>51772.114638996631</v>
      </c>
      <c r="F106" s="40">
        <f t="shared" si="23"/>
        <v>71079.364594469633</v>
      </c>
      <c r="G106" s="40">
        <f t="shared" si="23"/>
        <v>75405.068511375081</v>
      </c>
      <c r="H106" s="40">
        <f t="shared" si="23"/>
        <v>89261.503901025353</v>
      </c>
      <c r="I106" s="40">
        <f t="shared" si="23"/>
        <v>107913.03138072345</v>
      </c>
      <c r="J106" s="40">
        <f t="shared" si="23"/>
        <v>160864.14615760016</v>
      </c>
      <c r="K106" s="40">
        <f>SUM(K57:K68)</f>
        <v>130702.11875305013</v>
      </c>
      <c r="L106" s="40">
        <f>SUM(L57:L68)</f>
        <v>0</v>
      </c>
    </row>
    <row r="107" spans="2:12" hidden="1" outlineLevel="1">
      <c r="B107" s="26" t="s">
        <v>124</v>
      </c>
      <c r="C107" s="26"/>
      <c r="D107" s="40">
        <f>SUM(D69:D80)</f>
        <v>39106.58278107868</v>
      </c>
      <c r="E107" s="40">
        <f t="shared" ref="E107:J107" si="24">SUM(E69:E80)</f>
        <v>39106.58278107868</v>
      </c>
      <c r="F107" s="40">
        <f t="shared" si="24"/>
        <v>53690.506461297817</v>
      </c>
      <c r="G107" s="40">
        <f t="shared" si="24"/>
        <v>56957.970027205141</v>
      </c>
      <c r="H107" s="40">
        <f t="shared" si="24"/>
        <v>67424.566599404352</v>
      </c>
      <c r="I107" s="40">
        <f t="shared" si="24"/>
        <v>81513.183772266915</v>
      </c>
      <c r="J107" s="40">
        <f t="shared" si="24"/>
        <v>121510.33605803759</v>
      </c>
      <c r="K107" s="40">
        <f>SUM(K69:K80)</f>
        <v>98727.14804715557</v>
      </c>
      <c r="L107" s="40">
        <f>SUM(L69:L80)</f>
        <v>0</v>
      </c>
    </row>
    <row r="108" spans="2:12" hidden="1" outlineLevel="1">
      <c r="B108" s="26" t="s">
        <v>125</v>
      </c>
      <c r="C108" s="26"/>
      <c r="D108" s="40">
        <f>SUM(D81:D92)</f>
        <v>24975.410316769055</v>
      </c>
      <c r="E108" s="40">
        <f t="shared" ref="E108:J108" si="25">SUM(E81:E92)</f>
        <v>24975.410316769055</v>
      </c>
      <c r="F108" s="40">
        <f t="shared" si="25"/>
        <v>34289.429902191667</v>
      </c>
      <c r="G108" s="40">
        <f t="shared" si="25"/>
        <v>36376.194775268574</v>
      </c>
      <c r="H108" s="40">
        <f t="shared" si="25"/>
        <v>43060.684327171926</v>
      </c>
      <c r="I108" s="40">
        <f t="shared" si="25"/>
        <v>52058.376522828796</v>
      </c>
      <c r="J108" s="40">
        <f t="shared" si="25"/>
        <v>77602.54885390625</v>
      </c>
      <c r="K108" s="40">
        <f>SUM(K81:K92)</f>
        <v>63052.070943798841</v>
      </c>
      <c r="L108" s="40">
        <f>SUM(L81:L92)</f>
        <v>0</v>
      </c>
    </row>
    <row r="109" spans="2:12" hidden="1" outlineLevel="1">
      <c r="B109" s="26" t="s">
        <v>126</v>
      </c>
      <c r="C109" s="26"/>
      <c r="D109" s="40">
        <f>SUM(D93:D104)</f>
        <v>9208.9950208156752</v>
      </c>
      <c r="E109" s="40">
        <f t="shared" ref="E109:J109" si="26">SUM(E93:E104)</f>
        <v>9208.9950208156752</v>
      </c>
      <c r="F109" s="40">
        <f t="shared" si="26"/>
        <v>12643.283342731516</v>
      </c>
      <c r="G109" s="40">
        <f t="shared" si="26"/>
        <v>13412.720444346458</v>
      </c>
      <c r="H109" s="40">
        <f t="shared" si="26"/>
        <v>15877.441953199546</v>
      </c>
      <c r="I109" s="40">
        <f t="shared" si="26"/>
        <v>19195.09325813135</v>
      </c>
      <c r="J109" s="40">
        <f t="shared" si="26"/>
        <v>28613.80361460572</v>
      </c>
      <c r="K109" s="40">
        <f>SUM(K93:K104)</f>
        <v>23248.715436867184</v>
      </c>
      <c r="L109" s="40">
        <f>SUM(L93:L104)</f>
        <v>0</v>
      </c>
    </row>
    <row r="110" spans="2:12" hidden="1" outlineLevel="1">
      <c r="B110" s="26" t="s">
        <v>127</v>
      </c>
      <c r="C110" s="26"/>
      <c r="D110" s="40">
        <f>SUM(D105:D109)</f>
        <v>188187.12026594006</v>
      </c>
      <c r="E110" s="40">
        <f t="shared" ref="E110:J110" si="27">SUM(E105:E109)</f>
        <v>188187.12026594006</v>
      </c>
      <c r="F110" s="40">
        <f t="shared" si="27"/>
        <v>258367.28954645802</v>
      </c>
      <c r="G110" s="40">
        <f t="shared" si="27"/>
        <v>274090.84592273872</v>
      </c>
      <c r="H110" s="40">
        <f t="shared" si="27"/>
        <v>324457.77976950124</v>
      </c>
      <c r="I110" s="40">
        <f t="shared" si="27"/>
        <v>392254.45505387493</v>
      </c>
      <c r="J110" s="40">
        <f t="shared" si="27"/>
        <v>584727.13796850899</v>
      </c>
      <c r="K110" s="40">
        <f>SUM(K105:K109)</f>
        <v>475090.79959941376</v>
      </c>
      <c r="L110" s="40">
        <f>SUM(L105:L109)</f>
        <v>0</v>
      </c>
    </row>
    <row r="111" spans="2:12" hidden="1" outlineLevel="1">
      <c r="B111" s="26" t="s">
        <v>129</v>
      </c>
      <c r="C111" s="26"/>
      <c r="D111" s="40">
        <f>D110/5</f>
        <v>37637.424053188013</v>
      </c>
      <c r="E111" s="40">
        <f t="shared" ref="E111:J111" si="28">E110/5</f>
        <v>37637.424053188013</v>
      </c>
      <c r="F111" s="40">
        <f t="shared" si="28"/>
        <v>51673.457909291603</v>
      </c>
      <c r="G111" s="40">
        <f t="shared" si="28"/>
        <v>54818.169184547747</v>
      </c>
      <c r="H111" s="40">
        <f t="shared" si="28"/>
        <v>64891.55595390025</v>
      </c>
      <c r="I111" s="40">
        <f t="shared" si="28"/>
        <v>78450.891010774983</v>
      </c>
      <c r="J111" s="40">
        <f t="shared" si="28"/>
        <v>116945.4275937018</v>
      </c>
      <c r="K111" s="40">
        <f>K110/5</f>
        <v>95018.159919882746</v>
      </c>
      <c r="L111" s="40">
        <f>L110/5</f>
        <v>0</v>
      </c>
    </row>
    <row r="112" spans="2:12" collapsed="1"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</row>
    <row r="113" spans="2:12"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</row>
    <row r="114" spans="2:12" ht="15.35">
      <c r="B114" s="64" t="s">
        <v>184</v>
      </c>
      <c r="C114" s="64"/>
      <c r="D114" s="64"/>
      <c r="E114" s="64"/>
      <c r="F114" s="64"/>
      <c r="G114" s="64"/>
      <c r="H114" s="64"/>
      <c r="I114" s="64"/>
      <c r="J114" s="64"/>
      <c r="K114" s="64"/>
      <c r="L114" s="64"/>
    </row>
    <row r="115" spans="2:12">
      <c r="B115" s="38" t="s">
        <v>10</v>
      </c>
      <c r="C115" s="38"/>
      <c r="D115" s="25" t="s">
        <v>780</v>
      </c>
      <c r="E115" s="25" t="s">
        <v>781</v>
      </c>
      <c r="F115" s="25" t="s">
        <v>773</v>
      </c>
      <c r="G115" s="25" t="s">
        <v>777</v>
      </c>
      <c r="H115" s="25" t="s">
        <v>778</v>
      </c>
      <c r="I115" s="25" t="s">
        <v>779</v>
      </c>
      <c r="J115" s="25" t="s">
        <v>774</v>
      </c>
      <c r="K115" s="25" t="s">
        <v>775</v>
      </c>
      <c r="L115" s="25" t="s">
        <v>776</v>
      </c>
    </row>
    <row r="116" spans="2:12">
      <c r="B116" s="26" t="s">
        <v>132</v>
      </c>
      <c r="C116" s="27">
        <v>0</v>
      </c>
      <c r="D116" s="41">
        <f>('ZBC-Main Page'!$C$14/D$124*D$123+(1-'ZBC-Main Page'!$C$14)/D$124*D$125+$C116*1/D$124*D$123+(1-$C116)*1/D$125*D$123)/2</f>
        <v>4.7417272727272728</v>
      </c>
      <c r="E116" s="41">
        <f>('ZBC-Main Page'!$C$14/E$124*E$123+(1-'ZBC-Main Page'!$C$14)/E$124*E$125+$C116*1/E$124*E$123+(1-$C116)*1/E$125*E$123)/2</f>
        <v>4.7417272727272728</v>
      </c>
      <c r="F116" s="41">
        <f>('ZBC-Main Page'!$C$14/F$124*F$123+(1-'ZBC-Main Page'!$C$14)/F$124*F$125+$C116*1/F$124*F$123+(1-$C116)*1/F$125*F$123)/2</f>
        <v>5.1535272727272732</v>
      </c>
      <c r="G116" s="41">
        <f>('ZBC-Main Page'!$C$14/G$124*G$123+(1-'ZBC-Main Page'!$C$14)/G$124*G$125+$C116*1/G$124*G$123+(1-$C116)*1/G$125*G$123)/2</f>
        <v>5.6852222222222224</v>
      </c>
      <c r="H116" s="41">
        <f>('ZBC-Main Page'!$C$14/H$124*H$123+(1-'ZBC-Main Page'!$C$14)/H$124*H$125+$C116*1/H$124*H$123+(1-$C116)*1/H$125*H$123)/2</f>
        <v>6.027000000000001</v>
      </c>
      <c r="I116" s="41">
        <f>('ZBC-Main Page'!$C$14/I$124*I$123+(1-'ZBC-Main Page'!$C$14)/I$124*I$125+$C116*1/I$124*I$123+(1-$C116)*1/I$125*I$123)/2</f>
        <v>9.7599333333333327</v>
      </c>
      <c r="J116" s="41">
        <f>('ZBC-Main Page'!$C$14/J$124*J$123+(1-'ZBC-Main Page'!$C$14)/J$124*J$125+$C116*1/J$124*J$123+(1-$C116)*1/J$125*J$123)/2</f>
        <v>14.236928571428573</v>
      </c>
      <c r="K116" s="41">
        <f>('ZBC-Main Page'!$C$14/K$124*K$123+(1-'ZBC-Main Page'!$C$14)/K$124*K$125+$C116*1/K$124*K$123+(1-$C116)*1/K$125*K$123)/2</f>
        <v>11.929000000000002</v>
      </c>
      <c r="L116" s="41" t="e">
        <f>('ZBC-Main Page'!$C$14/L$124*L$123+(1-'ZBC-Main Page'!$C$14)/L$124*L$125+$C116*1/L$124*L$123+(1-$C116)*1/L$125*L$123)/2</f>
        <v>#DIV/0!</v>
      </c>
    </row>
    <row r="117" spans="2:12">
      <c r="B117" s="26" t="s">
        <v>133</v>
      </c>
      <c r="C117" s="27">
        <v>0.3</v>
      </c>
      <c r="D117" s="41">
        <f>('ZBC-Main Page'!$C$14/D$124*D$123+(1-'ZBC-Main Page'!$C$14)/D$124*D$125+$C117*1/D$124*D$123+(1-$C117)*1/D$125*D$123)/2</f>
        <v>4.674659090909091</v>
      </c>
      <c r="E117" s="41">
        <f>('ZBC-Main Page'!$C$14/E$124*E$123+(1-'ZBC-Main Page'!$C$14)/E$124*E$125+$C117*1/E$124*E$123+(1-$C117)*1/E$125*E$123)/2</f>
        <v>4.674659090909091</v>
      </c>
      <c r="F117" s="41">
        <f>('ZBC-Main Page'!$C$14/F$124*F$123+(1-'ZBC-Main Page'!$C$14)/F$124*F$125+$C117*1/F$124*F$123+(1-$C117)*1/F$125*F$123)/2</f>
        <v>5.2340090909090904</v>
      </c>
      <c r="G117" s="41">
        <f>('ZBC-Main Page'!$C$14/G$124*G$123+(1-'ZBC-Main Page'!$C$14)/G$124*G$125+$C117*1/G$124*G$123+(1-$C117)*1/G$125*G$123)/2</f>
        <v>5.7835888888888896</v>
      </c>
      <c r="H117" s="41">
        <f>('ZBC-Main Page'!$C$14/H$124*H$123+(1-'ZBC-Main Page'!$C$14)/H$124*H$125+$C117*1/H$124*H$123+(1-$C117)*1/H$125*H$123)/2</f>
        <v>6.2483250000000012</v>
      </c>
      <c r="I117" s="41">
        <f>('ZBC-Main Page'!$C$14/I$124*I$123+(1-'ZBC-Main Page'!$C$14)/I$124*I$125+$C117*1/I$124*I$123+(1-$C117)*1/I$125*I$123)/2</f>
        <v>10.055033333333334</v>
      </c>
      <c r="J117" s="41">
        <f>('ZBC-Main Page'!$C$14/J$124*J$123+(1-'ZBC-Main Page'!$C$14)/J$124*J$125+$C117*1/J$124*J$123+(1-$C117)*1/J$125*J$123)/2</f>
        <v>14.553107142857144</v>
      </c>
      <c r="K117" s="41">
        <f>('ZBC-Main Page'!$C$14/K$124*K$123+(1-'ZBC-Main Page'!$C$14)/K$124*K$125+$C117*1/K$124*K$123+(1-$C117)*1/K$125*K$123)/2</f>
        <v>12.371650000000002</v>
      </c>
      <c r="L117" s="41" t="e">
        <f>('ZBC-Main Page'!$C$14/L$124*L$123+(1-'ZBC-Main Page'!$C$14)/L$124*L$125+$C117*1/L$124*L$123+(1-$C117)*1/L$125*L$123)/2</f>
        <v>#DIV/0!</v>
      </c>
    </row>
    <row r="118" spans="2:12">
      <c r="B118" s="26" t="s">
        <v>134</v>
      </c>
      <c r="C118" s="27">
        <v>0.4</v>
      </c>
      <c r="D118" s="41">
        <f>('ZBC-Main Page'!$C$14/D$124*D$123+(1-'ZBC-Main Page'!$C$14)/D$124*D$125+$C118*1/D$124*D$123+(1-$C118)*1/D$125*D$123)/2</f>
        <v>4.6523030303030311</v>
      </c>
      <c r="E118" s="41">
        <f>('ZBC-Main Page'!$C$14/E$124*E$123+(1-'ZBC-Main Page'!$C$14)/E$124*E$125+$C118*1/E$124*E$123+(1-$C118)*1/E$125*E$123)/2</f>
        <v>4.6523030303030311</v>
      </c>
      <c r="F118" s="41">
        <f>('ZBC-Main Page'!$C$14/F$124*F$123+(1-'ZBC-Main Page'!$C$14)/F$124*F$125+$C118*1/F$124*F$123+(1-$C118)*1/F$125*F$123)/2</f>
        <v>5.260836363636364</v>
      </c>
      <c r="G118" s="41">
        <f>('ZBC-Main Page'!$C$14/G$124*G$123+(1-'ZBC-Main Page'!$C$14)/G$124*G$125+$C118*1/G$124*G$123+(1-$C118)*1/G$125*G$123)/2</f>
        <v>5.8163777777777774</v>
      </c>
      <c r="H118" s="41">
        <f>('ZBC-Main Page'!$C$14/H$124*H$123+(1-'ZBC-Main Page'!$C$14)/H$124*H$125+$C118*1/H$124*H$123+(1-$C118)*1/H$125*H$123)/2</f>
        <v>6.3221000000000007</v>
      </c>
      <c r="I118" s="41">
        <f>('ZBC-Main Page'!$C$14/I$124*I$123+(1-'ZBC-Main Page'!$C$14)/I$124*I$125+$C118*1/I$124*I$123+(1-$C118)*1/I$125*I$123)/2</f>
        <v>10.153400000000001</v>
      </c>
      <c r="J118" s="41">
        <f>('ZBC-Main Page'!$C$14/J$124*J$123+(1-'ZBC-Main Page'!$C$14)/J$124*J$125+$C118*1/J$124*J$123+(1-$C118)*1/J$125*J$123)/2</f>
        <v>14.6585</v>
      </c>
      <c r="K118" s="41">
        <f>('ZBC-Main Page'!$C$14/K$124*K$123+(1-'ZBC-Main Page'!$C$14)/K$124*K$125+$C118*1/K$124*K$123+(1-$C118)*1/K$125*K$123)/2</f>
        <v>12.519200000000001</v>
      </c>
      <c r="L118" s="41" t="e">
        <f>('ZBC-Main Page'!$C$14/L$124*L$123+(1-'ZBC-Main Page'!$C$14)/L$124*L$125+$C118*1/L$124*L$123+(1-$C118)*1/L$125*L$123)/2</f>
        <v>#DIV/0!</v>
      </c>
    </row>
    <row r="119" spans="2:12">
      <c r="B119" s="26" t="s">
        <v>135</v>
      </c>
      <c r="C119" s="27">
        <v>0.5</v>
      </c>
      <c r="D119" s="41">
        <f>('ZBC-Main Page'!$C$14/D$124*D$123+(1-'ZBC-Main Page'!$C$14)/D$124*D$125+$C119*1/D$124*D$123+(1-$C119)*1/D$125*D$123)/2</f>
        <v>4.6299469696969702</v>
      </c>
      <c r="E119" s="41">
        <f>('ZBC-Main Page'!$C$14/E$124*E$123+(1-'ZBC-Main Page'!$C$14)/E$124*E$125+$C119*1/E$124*E$123+(1-$C119)*1/E$125*E$123)/2</f>
        <v>4.6299469696969702</v>
      </c>
      <c r="F119" s="41">
        <f>('ZBC-Main Page'!$C$14/F$124*F$123+(1-'ZBC-Main Page'!$C$14)/F$124*F$125+$C119*1/F$124*F$123+(1-$C119)*1/F$125*F$123)/2</f>
        <v>5.2876636363636367</v>
      </c>
      <c r="G119" s="41">
        <f>('ZBC-Main Page'!$C$14/G$124*G$123+(1-'ZBC-Main Page'!$C$14)/G$124*G$125+$C119*1/G$124*G$123+(1-$C119)*1/G$125*G$123)/2</f>
        <v>5.8491666666666671</v>
      </c>
      <c r="H119" s="41">
        <f>('ZBC-Main Page'!$C$14/H$124*H$123+(1-'ZBC-Main Page'!$C$14)/H$124*H$125+$C119*1/H$124*H$123+(1-$C119)*1/H$125*H$123)/2</f>
        <v>6.3958750000000011</v>
      </c>
      <c r="I119" s="41">
        <f>('ZBC-Main Page'!$C$14/I$124*I$123+(1-'ZBC-Main Page'!$C$14)/I$124*I$125+$C119*1/I$124*I$123+(1-$C119)*1/I$125*I$123)/2</f>
        <v>10.251766666666668</v>
      </c>
      <c r="J119" s="41">
        <f>('ZBC-Main Page'!$C$14/J$124*J$123+(1-'ZBC-Main Page'!$C$14)/J$124*J$125+$C119*1/J$124*J$123+(1-$C119)*1/J$125*J$123)/2</f>
        <v>14.763892857142858</v>
      </c>
      <c r="K119" s="41">
        <f>('ZBC-Main Page'!$C$14/K$124*K$123+(1-'ZBC-Main Page'!$C$14)/K$124*K$125+$C119*1/K$124*K$123+(1-$C119)*1/K$125*K$123)/2</f>
        <v>12.666750000000002</v>
      </c>
      <c r="L119" s="41" t="e">
        <f>('ZBC-Main Page'!$C$14/L$124*L$123+(1-'ZBC-Main Page'!$C$14)/L$124*L$125+$C119*1/L$124*L$123+(1-$C119)*1/L$125*L$123)/2</f>
        <v>#DIV/0!</v>
      </c>
    </row>
    <row r="120" spans="2:12">
      <c r="B120" s="26" t="s">
        <v>136</v>
      </c>
      <c r="C120" s="27">
        <v>0.6</v>
      </c>
      <c r="D120" s="41">
        <f>('ZBC-Main Page'!$C$14/D$124*D$123+(1-'ZBC-Main Page'!$C$14)/D$124*D$125+$C120*1/D$124*D$123+(1-$C120)*1/D$125*D$123)/2</f>
        <v>4.6075909090909093</v>
      </c>
      <c r="E120" s="41">
        <f>('ZBC-Main Page'!$C$14/E$124*E$123+(1-'ZBC-Main Page'!$C$14)/E$124*E$125+$C120*1/E$124*E$123+(1-$C120)*1/E$125*E$123)/2</f>
        <v>4.6075909090909093</v>
      </c>
      <c r="F120" s="41">
        <f>('ZBC-Main Page'!$C$14/F$124*F$123+(1-'ZBC-Main Page'!$C$14)/F$124*F$125+$C120*1/F$124*F$123+(1-$C120)*1/F$125*F$123)/2</f>
        <v>5.3144909090909103</v>
      </c>
      <c r="G120" s="41">
        <f>('ZBC-Main Page'!$C$14/G$124*G$123+(1-'ZBC-Main Page'!$C$14)/G$124*G$125+$C120*1/G$124*G$123+(1-$C120)*1/G$125*G$123)/2</f>
        <v>5.8819555555555567</v>
      </c>
      <c r="H120" s="41">
        <f>('ZBC-Main Page'!$C$14/H$124*H$123+(1-'ZBC-Main Page'!$C$14)/H$124*H$125+$C120*1/H$124*H$123+(1-$C120)*1/H$125*H$123)/2</f>
        <v>6.4696500000000015</v>
      </c>
      <c r="I120" s="41">
        <f>('ZBC-Main Page'!$C$14/I$124*I$123+(1-'ZBC-Main Page'!$C$14)/I$124*I$125+$C120*1/I$124*I$123+(1-$C120)*1/I$125*I$123)/2</f>
        <v>10.350133333333332</v>
      </c>
      <c r="J120" s="41">
        <f>('ZBC-Main Page'!$C$14/J$124*J$123+(1-'ZBC-Main Page'!$C$14)/J$124*J$125+$C120*1/J$124*J$123+(1-$C120)*1/J$125*J$123)/2</f>
        <v>14.869285714285716</v>
      </c>
      <c r="K120" s="41">
        <f>('ZBC-Main Page'!$C$14/K$124*K$123+(1-'ZBC-Main Page'!$C$14)/K$124*K$125+$C120*1/K$124*K$123+(1-$C120)*1/K$125*K$123)/2</f>
        <v>12.814300000000003</v>
      </c>
      <c r="L120" s="41" t="e">
        <f>('ZBC-Main Page'!$C$14/L$124*L$123+(1-'ZBC-Main Page'!$C$14)/L$124*L$125+$C120*1/L$124*L$123+(1-$C120)*1/L$125*L$123)/2</f>
        <v>#DIV/0!</v>
      </c>
    </row>
    <row r="121" spans="2:12">
      <c r="B121" s="26" t="s">
        <v>137</v>
      </c>
      <c r="C121" s="27">
        <v>0.8</v>
      </c>
      <c r="D121" s="41">
        <f>('ZBC-Main Page'!$C$14/D$124*D$123+(1-'ZBC-Main Page'!$C$14)/D$124*D$125+$C121*1/D$124*D$123+(1-$C121)*1/D$125*D$123)/2</f>
        <v>4.5628787878787875</v>
      </c>
      <c r="E121" s="41">
        <f>('ZBC-Main Page'!$C$14/E$124*E$123+(1-'ZBC-Main Page'!$C$14)/E$124*E$125+$C121*1/E$124*E$123+(1-$C121)*1/E$125*E$123)/2</f>
        <v>4.5628787878787875</v>
      </c>
      <c r="F121" s="41">
        <f>('ZBC-Main Page'!$C$14/F$124*F$123+(1-'ZBC-Main Page'!$C$14)/F$124*F$125+$C121*1/F$124*F$123+(1-$C121)*1/F$125*F$123)/2</f>
        <v>5.3681454545454539</v>
      </c>
      <c r="G121" s="41">
        <f>('ZBC-Main Page'!$C$14/G$124*G$123+(1-'ZBC-Main Page'!$C$14)/G$124*G$125+$C121*1/G$124*G$123+(1-$C121)*1/G$125*G$123)/2</f>
        <v>5.9475333333333333</v>
      </c>
      <c r="H121" s="41">
        <f>('ZBC-Main Page'!$C$14/H$124*H$123+(1-'ZBC-Main Page'!$C$14)/H$124*H$125+$C121*1/H$124*H$123+(1-$C121)*1/H$125*H$123)/2</f>
        <v>6.6172000000000013</v>
      </c>
      <c r="I121" s="41">
        <f>('ZBC-Main Page'!$C$14/I$124*I$123+(1-'ZBC-Main Page'!$C$14)/I$124*I$125+$C121*1/I$124*I$123+(1-$C121)*1/I$125*I$123)/2</f>
        <v>10.546866666666668</v>
      </c>
      <c r="J121" s="41">
        <f>('ZBC-Main Page'!$C$14/J$124*J$123+(1-'ZBC-Main Page'!$C$14)/J$124*J$125+$C121*1/J$124*J$123+(1-$C121)*1/J$125*J$123)/2</f>
        <v>15.080071428571431</v>
      </c>
      <c r="K121" s="41">
        <f>('ZBC-Main Page'!$C$14/K$124*K$123+(1-'ZBC-Main Page'!$C$14)/K$124*K$125+$C121*1/K$124*K$123+(1-$C121)*1/K$125*K$123)/2</f>
        <v>13.109400000000003</v>
      </c>
      <c r="L121" s="41" t="e">
        <f>('ZBC-Main Page'!$C$14/L$124*L$123+(1-'ZBC-Main Page'!$C$14)/L$124*L$125+$C121*1/L$124*L$123+(1-$C121)*1/L$125*L$123)/2</f>
        <v>#DIV/0!</v>
      </c>
    </row>
    <row r="122" spans="2:12">
      <c r="B122" s="26" t="s">
        <v>138</v>
      </c>
      <c r="C122" s="27">
        <v>1</v>
      </c>
      <c r="D122" s="41">
        <f>('ZBC-Main Page'!$C$14/D$124*D$123+(1-'ZBC-Main Page'!$C$14)/D$124*D$125+$C122*1/D$124*D$123+(1-$C122)*1/D$125*D$123)/2</f>
        <v>4.5181666666666667</v>
      </c>
      <c r="E122" s="41">
        <f>('ZBC-Main Page'!$C$14/E$124*E$123+(1-'ZBC-Main Page'!$C$14)/E$124*E$125+$C122*1/E$124*E$123+(1-$C122)*1/E$125*E$123)/2</f>
        <v>4.5181666666666667</v>
      </c>
      <c r="F122" s="41">
        <f>('ZBC-Main Page'!$C$14/F$124*F$123+(1-'ZBC-Main Page'!$C$14)/F$124*F$125+$C122*1/F$124*F$123+(1-$C122)*1/F$125*F$123)/2</f>
        <v>5.4218000000000011</v>
      </c>
      <c r="G122" s="41">
        <f>('ZBC-Main Page'!$C$14/G$124*G$123+(1-'ZBC-Main Page'!$C$14)/G$124*G$125+$C122*1/G$124*G$123+(1-$C122)*1/G$125*G$123)/2</f>
        <v>6.0131111111111117</v>
      </c>
      <c r="H122" s="41">
        <f>('ZBC-Main Page'!$C$14/H$124*H$123+(1-'ZBC-Main Page'!$C$14)/H$124*H$125+$C122*1/H$124*H$123+(1-$C122)*1/H$125*H$123)/2</f>
        <v>6.7647500000000012</v>
      </c>
      <c r="I122" s="41">
        <f>('ZBC-Main Page'!$C$14/I$124*I$123+(1-'ZBC-Main Page'!$C$14)/I$124*I$125+$C122*1/I$124*I$123+(1-$C122)*1/I$125*I$123)/2</f>
        <v>10.743600000000001</v>
      </c>
      <c r="J122" s="41">
        <f>('ZBC-Main Page'!$C$14/J$124*J$123+(1-'ZBC-Main Page'!$C$14)/J$124*J$125+$C122*1/J$124*J$123+(1-$C122)*1/J$125*J$123)/2</f>
        <v>15.290857142857142</v>
      </c>
      <c r="K122" s="41">
        <f>('ZBC-Main Page'!$C$14/K$124*K$123+(1-'ZBC-Main Page'!$C$14)/K$124*K$125+$C122*1/K$124*K$123+(1-$C122)*1/K$125*K$123)/2</f>
        <v>13.404500000000002</v>
      </c>
      <c r="L122" s="41" t="e">
        <f>('ZBC-Main Page'!$D$14/L$124*L$123+(1-'ZBC-Main Page'!$D$14)/L$124*L$125+$C122*1/L$124*L$123+(1-$C122)*1/L$125*L$123)/2</f>
        <v>#DIV/0!</v>
      </c>
    </row>
    <row r="123" spans="2:12" outlineLevel="1">
      <c r="B123" s="28" t="s">
        <v>139</v>
      </c>
      <c r="C123" s="28"/>
      <c r="D123" s="42">
        <f>Input_Data!C38</f>
        <v>59.02</v>
      </c>
      <c r="E123" s="42">
        <f>Input_Data!D38</f>
        <v>59.02</v>
      </c>
      <c r="F123" s="42">
        <f>Input_Data!E38</f>
        <v>59.02</v>
      </c>
      <c r="G123" s="42">
        <f>Input_Data!F38</f>
        <v>59.02</v>
      </c>
      <c r="H123" s="42">
        <f>Input_Data!G38</f>
        <v>59.02</v>
      </c>
      <c r="I123" s="42">
        <f>Input_Data!H38</f>
        <v>59.02</v>
      </c>
      <c r="J123" s="42">
        <f>Input_Data!I38</f>
        <v>59.02</v>
      </c>
      <c r="K123" s="42">
        <f>Input_Data!J38</f>
        <v>59.02</v>
      </c>
      <c r="L123" s="42">
        <f>Input_Data!K38</f>
        <v>0</v>
      </c>
    </row>
    <row r="124" spans="2:12" outlineLevel="1">
      <c r="B124" s="28" t="s">
        <v>140</v>
      </c>
      <c r="C124" s="28"/>
      <c r="D124" s="42">
        <f>Input_Data!C16</f>
        <v>12</v>
      </c>
      <c r="E124" s="42">
        <f>Input_Data!D16</f>
        <v>12</v>
      </c>
      <c r="F124" s="42">
        <f>Input_Data!E16</f>
        <v>10</v>
      </c>
      <c r="G124" s="42">
        <f>Input_Data!F16</f>
        <v>9</v>
      </c>
      <c r="H124" s="42">
        <f>Input_Data!G16</f>
        <v>8</v>
      </c>
      <c r="I124" s="42">
        <f>Input_Data!H16</f>
        <v>5</v>
      </c>
      <c r="J124" s="42">
        <f>Input_Data!I16</f>
        <v>3.5</v>
      </c>
      <c r="K124" s="42">
        <f>Input_Data!J16</f>
        <v>4</v>
      </c>
      <c r="L124" s="42">
        <f>Input_Data!K16</f>
        <v>0</v>
      </c>
    </row>
    <row r="125" spans="2:12" outlineLevel="1">
      <c r="B125" s="28" t="s">
        <v>141</v>
      </c>
      <c r="C125" s="28"/>
      <c r="D125" s="42">
        <f>Input_Data!C17</f>
        <v>11</v>
      </c>
      <c r="E125" s="42">
        <f>Input_Data!D17</f>
        <v>11</v>
      </c>
      <c r="F125" s="42">
        <f>Input_Data!E17</f>
        <v>11</v>
      </c>
      <c r="G125" s="42">
        <f>Input_Data!F17</f>
        <v>10</v>
      </c>
      <c r="H125" s="42">
        <f>Input_Data!G17</f>
        <v>10</v>
      </c>
      <c r="I125" s="42">
        <f>Input_Data!H17</f>
        <v>6</v>
      </c>
      <c r="J125" s="42">
        <f>Input_Data!I17</f>
        <v>4</v>
      </c>
      <c r="K125" s="42">
        <f>Input_Data!J17</f>
        <v>5</v>
      </c>
      <c r="L125" s="42">
        <f>Input_Data!K17</f>
        <v>0</v>
      </c>
    </row>
    <row r="126" spans="2:12"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</row>
    <row r="127" spans="2:12"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</row>
    <row r="128" spans="2:12" ht="15.35">
      <c r="B128" s="64" t="s">
        <v>183</v>
      </c>
      <c r="C128" s="64"/>
      <c r="D128" s="64"/>
      <c r="E128" s="64"/>
      <c r="F128" s="64"/>
      <c r="G128" s="64"/>
      <c r="H128" s="64"/>
      <c r="I128" s="64"/>
      <c r="J128" s="64"/>
      <c r="K128" s="64"/>
      <c r="L128" s="64"/>
    </row>
    <row r="129" spans="2:12">
      <c r="B129" s="38" t="s">
        <v>10</v>
      </c>
      <c r="C129" s="38" t="s">
        <v>42</v>
      </c>
      <c r="D129" s="25" t="s">
        <v>780</v>
      </c>
      <c r="E129" s="25" t="s">
        <v>781</v>
      </c>
      <c r="F129" s="25" t="s">
        <v>773</v>
      </c>
      <c r="G129" s="25" t="s">
        <v>777</v>
      </c>
      <c r="H129" s="25" t="s">
        <v>778</v>
      </c>
      <c r="I129" s="25" t="s">
        <v>779</v>
      </c>
      <c r="J129" s="25" t="s">
        <v>774</v>
      </c>
      <c r="K129" s="25" t="s">
        <v>775</v>
      </c>
      <c r="L129" s="25" t="s">
        <v>776</v>
      </c>
    </row>
    <row r="130" spans="2:12">
      <c r="B130" s="26" t="s">
        <v>153</v>
      </c>
      <c r="C130" s="27"/>
      <c r="D130" s="43">
        <f>D139/Input_Data!C40</f>
        <v>1.2250000000000001</v>
      </c>
      <c r="E130" s="43">
        <f>E139/Input_Data!D40</f>
        <v>1.2250000000000001</v>
      </c>
      <c r="F130" s="43">
        <f>F139/Input_Data!E40</f>
        <v>1.2250000000000001</v>
      </c>
      <c r="G130" s="43">
        <f>G139/Input_Data!F40</f>
        <v>1.3999999999999997</v>
      </c>
      <c r="H130" s="43">
        <f>H139/Input_Data!G40</f>
        <v>2.0999999999999996</v>
      </c>
      <c r="I130" s="43">
        <f>I139/Input_Data!H40</f>
        <v>2.6250000000000004</v>
      </c>
      <c r="J130" s="43">
        <f>J139/Input_Data!I40</f>
        <v>4.083333333333333</v>
      </c>
      <c r="K130" s="43">
        <f>K139/Input_Data!J40</f>
        <v>4.8999999999999995</v>
      </c>
      <c r="L130" s="43" t="e">
        <f>L139/Input_Data!K40</f>
        <v>#DIV/0!</v>
      </c>
    </row>
    <row r="131" spans="2:12">
      <c r="B131" s="28" t="s">
        <v>144</v>
      </c>
      <c r="C131" s="28"/>
      <c r="D131" s="42">
        <f>Input_Data!C18</f>
        <v>2</v>
      </c>
      <c r="E131" s="42">
        <f>Input_Data!D18</f>
        <v>2</v>
      </c>
      <c r="F131" s="42">
        <f>Input_Data!E18</f>
        <v>2</v>
      </c>
      <c r="G131" s="42">
        <f>Input_Data!F18</f>
        <v>2</v>
      </c>
      <c r="H131" s="42">
        <f>Input_Data!G18</f>
        <v>3</v>
      </c>
      <c r="I131" s="42">
        <f>Input_Data!H18</f>
        <v>3</v>
      </c>
      <c r="J131" s="42">
        <f>Input_Data!I18</f>
        <v>5</v>
      </c>
      <c r="K131" s="42">
        <f>Input_Data!J18</f>
        <v>6</v>
      </c>
      <c r="L131" s="42">
        <f>Input_Data!K18</f>
        <v>0</v>
      </c>
    </row>
    <row r="132" spans="2:12">
      <c r="B132" s="28" t="s">
        <v>145</v>
      </c>
      <c r="C132" s="42">
        <f>Guidelines!$C$13</f>
        <v>40000</v>
      </c>
      <c r="D132" s="42">
        <f t="shared" ref="D132:L133" si="29">$C132</f>
        <v>40000</v>
      </c>
      <c r="E132" s="42">
        <f t="shared" si="29"/>
        <v>40000</v>
      </c>
      <c r="F132" s="42">
        <f t="shared" si="29"/>
        <v>40000</v>
      </c>
      <c r="G132" s="42">
        <f t="shared" si="29"/>
        <v>40000</v>
      </c>
      <c r="H132" s="42">
        <f t="shared" si="29"/>
        <v>40000</v>
      </c>
      <c r="I132" s="42">
        <f t="shared" si="29"/>
        <v>40000</v>
      </c>
      <c r="J132" s="42">
        <f t="shared" si="29"/>
        <v>40000</v>
      </c>
      <c r="K132" s="42">
        <f t="shared" si="29"/>
        <v>40000</v>
      </c>
      <c r="L132" s="42">
        <f t="shared" si="29"/>
        <v>40000</v>
      </c>
    </row>
    <row r="133" spans="2:12">
      <c r="B133" s="28" t="s">
        <v>146</v>
      </c>
      <c r="C133" s="42">
        <f>Guidelines!$C$14</f>
        <v>9000</v>
      </c>
      <c r="D133" s="42">
        <f t="shared" si="29"/>
        <v>9000</v>
      </c>
      <c r="E133" s="42">
        <f t="shared" si="29"/>
        <v>9000</v>
      </c>
      <c r="F133" s="42">
        <f t="shared" si="29"/>
        <v>9000</v>
      </c>
      <c r="G133" s="42">
        <f t="shared" si="29"/>
        <v>9000</v>
      </c>
      <c r="H133" s="42">
        <f t="shared" si="29"/>
        <v>9000</v>
      </c>
      <c r="I133" s="42">
        <f t="shared" si="29"/>
        <v>9000</v>
      </c>
      <c r="J133" s="42">
        <f t="shared" si="29"/>
        <v>9000</v>
      </c>
      <c r="K133" s="42">
        <f t="shared" si="29"/>
        <v>9000</v>
      </c>
      <c r="L133" s="42">
        <f t="shared" si="29"/>
        <v>9000</v>
      </c>
    </row>
    <row r="134" spans="2:12">
      <c r="B134" s="26" t="s">
        <v>147</v>
      </c>
      <c r="C134" s="27"/>
      <c r="D134" s="42">
        <f>Input_Data!C19</f>
        <v>50000</v>
      </c>
      <c r="E134" s="42">
        <f>Input_Data!D19</f>
        <v>50000</v>
      </c>
      <c r="F134" s="42">
        <f>Input_Data!E19</f>
        <v>50000</v>
      </c>
      <c r="G134" s="42">
        <f>Input_Data!F19</f>
        <v>45000</v>
      </c>
      <c r="H134" s="42">
        <f>Input_Data!G19</f>
        <v>45000</v>
      </c>
      <c r="I134" s="42">
        <f>Input_Data!H19</f>
        <v>38000</v>
      </c>
      <c r="J134" s="42">
        <f>Input_Data!I19</f>
        <v>40000</v>
      </c>
      <c r="K134" s="42">
        <f>Input_Data!J19</f>
        <v>40000</v>
      </c>
      <c r="L134" s="42">
        <f>Input_Data!K19</f>
        <v>0</v>
      </c>
    </row>
    <row r="135" spans="2:12">
      <c r="B135" s="26" t="s">
        <v>148</v>
      </c>
      <c r="C135" s="27"/>
      <c r="D135" s="42">
        <f>Input_Data!C20</f>
        <v>30000</v>
      </c>
      <c r="E135" s="42">
        <f>Input_Data!D20</f>
        <v>30000</v>
      </c>
      <c r="F135" s="42">
        <f>Input_Data!E20</f>
        <v>30000</v>
      </c>
      <c r="G135" s="42">
        <f>Input_Data!F20</f>
        <v>25000</v>
      </c>
      <c r="H135" s="42">
        <f>Input_Data!G20</f>
        <v>25000</v>
      </c>
      <c r="I135" s="42">
        <f>Input_Data!H20</f>
        <v>18000</v>
      </c>
      <c r="J135" s="42">
        <f>Input_Data!I20</f>
        <v>20000</v>
      </c>
      <c r="K135" s="42">
        <f>Input_Data!J20</f>
        <v>20000</v>
      </c>
      <c r="L135" s="42">
        <f>Input_Data!K20</f>
        <v>0</v>
      </c>
    </row>
    <row r="136" spans="2:12">
      <c r="B136" s="26" t="s">
        <v>149</v>
      </c>
      <c r="C136" s="27"/>
      <c r="D136" s="42">
        <f>SUM(D134+D135)</f>
        <v>80000</v>
      </c>
      <c r="E136" s="42">
        <f t="shared" ref="E136:J136" si="30">SUM(E134+E135)</f>
        <v>80000</v>
      </c>
      <c r="F136" s="42">
        <f t="shared" si="30"/>
        <v>80000</v>
      </c>
      <c r="G136" s="42">
        <f t="shared" si="30"/>
        <v>70000</v>
      </c>
      <c r="H136" s="42">
        <f t="shared" si="30"/>
        <v>70000</v>
      </c>
      <c r="I136" s="42">
        <f t="shared" si="30"/>
        <v>56000</v>
      </c>
      <c r="J136" s="42">
        <f t="shared" si="30"/>
        <v>60000</v>
      </c>
      <c r="K136" s="42">
        <f>SUM(K134+K135)</f>
        <v>60000</v>
      </c>
      <c r="L136" s="42">
        <f>SUM(L134+L135)</f>
        <v>0</v>
      </c>
    </row>
    <row r="137" spans="2:12">
      <c r="B137" s="26" t="s">
        <v>150</v>
      </c>
      <c r="C137" s="27"/>
      <c r="D137" s="42">
        <f>SUM(D132:D133)</f>
        <v>49000</v>
      </c>
      <c r="E137" s="42">
        <f t="shared" ref="E137:J137" si="31">SUM(E132:E133)</f>
        <v>49000</v>
      </c>
      <c r="F137" s="42">
        <f t="shared" si="31"/>
        <v>49000</v>
      </c>
      <c r="G137" s="42">
        <f t="shared" si="31"/>
        <v>49000</v>
      </c>
      <c r="H137" s="42">
        <f t="shared" si="31"/>
        <v>49000</v>
      </c>
      <c r="I137" s="42">
        <f t="shared" si="31"/>
        <v>49000</v>
      </c>
      <c r="J137" s="42">
        <f t="shared" si="31"/>
        <v>49000</v>
      </c>
      <c r="K137" s="42">
        <f>SUM(K132:K133)</f>
        <v>49000</v>
      </c>
      <c r="L137" s="42">
        <f>SUM(L132:L133)</f>
        <v>49000</v>
      </c>
    </row>
    <row r="138" spans="2:12">
      <c r="B138" s="26" t="s">
        <v>151</v>
      </c>
      <c r="C138" s="27"/>
      <c r="D138" s="43">
        <f>Input_Data!C40/'Master Sheet'!D136*D131</f>
        <v>1.8</v>
      </c>
      <c r="E138" s="43">
        <f>Input_Data!D40/'Master Sheet'!E136*E131</f>
        <v>1.8</v>
      </c>
      <c r="F138" s="43">
        <f>Input_Data!E40/'Master Sheet'!F136*F131</f>
        <v>1.8</v>
      </c>
      <c r="G138" s="43">
        <f>Input_Data!F40/'Master Sheet'!G136*G131</f>
        <v>2.0571428571428569</v>
      </c>
      <c r="H138" s="43">
        <f>Input_Data!G40/'Master Sheet'!H136*H131</f>
        <v>3.0857142857142854</v>
      </c>
      <c r="I138" s="43">
        <f>Input_Data!H40/'Master Sheet'!I136*I131</f>
        <v>3.8571428571428577</v>
      </c>
      <c r="J138" s="43">
        <f>Input_Data!I40/'Master Sheet'!J136*J131</f>
        <v>6</v>
      </c>
      <c r="K138" s="43">
        <f>Input_Data!J40/'Master Sheet'!K136*K131</f>
        <v>7.1999999999999993</v>
      </c>
      <c r="L138" s="43" t="e">
        <f>Input_Data!K40/'Master Sheet'!L136*L131</f>
        <v>#DIV/0!</v>
      </c>
    </row>
    <row r="139" spans="2:12">
      <c r="B139" s="26" t="s">
        <v>152</v>
      </c>
      <c r="C139" s="27"/>
      <c r="D139" s="44">
        <f>D138*D137</f>
        <v>88200</v>
      </c>
      <c r="E139" s="44">
        <f t="shared" ref="E139:J139" si="32">E138*E137</f>
        <v>88200</v>
      </c>
      <c r="F139" s="44">
        <f t="shared" si="32"/>
        <v>88200</v>
      </c>
      <c r="G139" s="44">
        <f t="shared" si="32"/>
        <v>100799.99999999999</v>
      </c>
      <c r="H139" s="44">
        <f t="shared" si="32"/>
        <v>151199.99999999997</v>
      </c>
      <c r="I139" s="44">
        <f t="shared" si="32"/>
        <v>189000.00000000003</v>
      </c>
      <c r="J139" s="44">
        <f t="shared" si="32"/>
        <v>294000</v>
      </c>
      <c r="K139" s="44">
        <f>K138*K137</f>
        <v>352799.99999999994</v>
      </c>
      <c r="L139" s="44" t="e">
        <f>L138*L137</f>
        <v>#DIV/0!</v>
      </c>
    </row>
    <row r="140" spans="2:12"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</row>
    <row r="141" spans="2:12"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</row>
    <row r="142" spans="2:12" ht="15.35">
      <c r="B142" s="64" t="s">
        <v>181</v>
      </c>
      <c r="C142" s="64"/>
      <c r="D142" s="64"/>
      <c r="E142" s="64"/>
      <c r="F142" s="64"/>
      <c r="G142" s="64"/>
      <c r="H142" s="64"/>
      <c r="I142" s="64"/>
      <c r="J142" s="64"/>
      <c r="K142" s="64"/>
      <c r="L142" s="64"/>
    </row>
    <row r="143" spans="2:12">
      <c r="B143" s="38" t="s">
        <v>10</v>
      </c>
      <c r="C143" s="38" t="s">
        <v>42</v>
      </c>
      <c r="D143" s="25" t="s">
        <v>780</v>
      </c>
      <c r="E143" s="25" t="s">
        <v>781</v>
      </c>
      <c r="F143" s="25" t="s">
        <v>773</v>
      </c>
      <c r="G143" s="25" t="s">
        <v>777</v>
      </c>
      <c r="H143" s="25" t="s">
        <v>778</v>
      </c>
      <c r="I143" s="25" t="s">
        <v>779</v>
      </c>
      <c r="J143" s="25" t="s">
        <v>774</v>
      </c>
      <c r="K143" s="25" t="s">
        <v>775</v>
      </c>
      <c r="L143" s="25" t="s">
        <v>776</v>
      </c>
    </row>
    <row r="144" spans="2:12">
      <c r="B144" s="26" t="s">
        <v>169</v>
      </c>
      <c r="C144" s="26"/>
      <c r="D144" s="45">
        <f t="shared" ref="D144:J144" si="33">D145*D146/D147</f>
        <v>7.8375E-2</v>
      </c>
      <c r="E144" s="45">
        <f t="shared" si="33"/>
        <v>7.8375E-2</v>
      </c>
      <c r="F144" s="45">
        <f t="shared" si="33"/>
        <v>7.8375E-2</v>
      </c>
      <c r="G144" s="45">
        <f t="shared" si="33"/>
        <v>8.9571428571428566E-2</v>
      </c>
      <c r="H144" s="45">
        <f t="shared" si="33"/>
        <v>8.9571428571428566E-2</v>
      </c>
      <c r="I144" s="45">
        <f t="shared" si="33"/>
        <v>8.9571428571428566E-2</v>
      </c>
      <c r="J144" s="45">
        <f t="shared" si="33"/>
        <v>0.12214285714285714</v>
      </c>
      <c r="K144" s="45">
        <f>K145*K146/K147</f>
        <v>0.12214285714285714</v>
      </c>
      <c r="L144" s="45" t="e">
        <f>L145*L146/L147</f>
        <v>#DIV/0!</v>
      </c>
    </row>
    <row r="145" spans="2:12" outlineLevel="1">
      <c r="B145" s="26" t="s">
        <v>154</v>
      </c>
      <c r="C145" s="26"/>
      <c r="D145" s="26">
        <f>Input_Data!C25</f>
        <v>11</v>
      </c>
      <c r="E145" s="26">
        <f>Input_Data!D25</f>
        <v>11</v>
      </c>
      <c r="F145" s="26">
        <f>Input_Data!E25</f>
        <v>11</v>
      </c>
      <c r="G145" s="26">
        <f>Input_Data!F25</f>
        <v>11</v>
      </c>
      <c r="H145" s="26">
        <f>Input_Data!G25</f>
        <v>11</v>
      </c>
      <c r="I145" s="26">
        <f>Input_Data!H25</f>
        <v>11</v>
      </c>
      <c r="J145" s="26">
        <f>Input_Data!I25</f>
        <v>15</v>
      </c>
      <c r="K145" s="26">
        <f>Input_Data!J25</f>
        <v>15</v>
      </c>
      <c r="L145" s="26">
        <f>Input_Data!K25</f>
        <v>0</v>
      </c>
    </row>
    <row r="146" spans="2:12" outlineLevel="1">
      <c r="B146" s="26" t="s">
        <v>155</v>
      </c>
      <c r="C146" s="26"/>
      <c r="D146" s="26">
        <f>Input_Data!C29</f>
        <v>285</v>
      </c>
      <c r="E146" s="26">
        <f>Input_Data!D29</f>
        <v>285</v>
      </c>
      <c r="F146" s="26">
        <f>Input_Data!E29</f>
        <v>285</v>
      </c>
      <c r="G146" s="26">
        <f>Input_Data!F29</f>
        <v>285</v>
      </c>
      <c r="H146" s="26">
        <f>Input_Data!G29</f>
        <v>285</v>
      </c>
      <c r="I146" s="26">
        <f>Input_Data!H29</f>
        <v>285</v>
      </c>
      <c r="J146" s="26">
        <f>Input_Data!I29</f>
        <v>285</v>
      </c>
      <c r="K146" s="26">
        <f>Input_Data!J29</f>
        <v>285</v>
      </c>
      <c r="L146" s="26">
        <f>Input_Data!K29</f>
        <v>0</v>
      </c>
    </row>
    <row r="147" spans="2:12" outlineLevel="1">
      <c r="B147" s="26" t="s">
        <v>162</v>
      </c>
      <c r="C147" s="26"/>
      <c r="D147" s="26">
        <f>Input_Data!C21</f>
        <v>40000</v>
      </c>
      <c r="E147" s="26">
        <f>Input_Data!D21</f>
        <v>40000</v>
      </c>
      <c r="F147" s="26">
        <f>Input_Data!E21</f>
        <v>40000</v>
      </c>
      <c r="G147" s="26">
        <f>Input_Data!F21</f>
        <v>35000</v>
      </c>
      <c r="H147" s="26">
        <f>Input_Data!G21</f>
        <v>35000</v>
      </c>
      <c r="I147" s="26">
        <f>Input_Data!H21</f>
        <v>35000</v>
      </c>
      <c r="J147" s="26">
        <f>Input_Data!I21</f>
        <v>35000</v>
      </c>
      <c r="K147" s="26">
        <f>Input_Data!J21</f>
        <v>35000</v>
      </c>
      <c r="L147" s="26">
        <f>Input_Data!K21</f>
        <v>0</v>
      </c>
    </row>
    <row r="148" spans="2:12">
      <c r="B148" s="26" t="s">
        <v>170</v>
      </c>
      <c r="C148" s="26"/>
      <c r="D148" s="45">
        <f t="shared" ref="D148:J148" si="34">D149*D150/D151</f>
        <v>1.3275E-2</v>
      </c>
      <c r="E148" s="45">
        <f t="shared" si="34"/>
        <v>1.3275E-2</v>
      </c>
      <c r="F148" s="45">
        <f t="shared" si="34"/>
        <v>1.3275E-2</v>
      </c>
      <c r="G148" s="45">
        <f t="shared" si="34"/>
        <v>1.9666666666666666E-2</v>
      </c>
      <c r="H148" s="45">
        <f t="shared" si="34"/>
        <v>1.9666666666666666E-2</v>
      </c>
      <c r="I148" s="45">
        <f t="shared" si="34"/>
        <v>1.9666666666666666E-2</v>
      </c>
      <c r="J148" s="45">
        <f t="shared" si="34"/>
        <v>2.7533333333333333E-2</v>
      </c>
      <c r="K148" s="45">
        <f>K149*K150/K151</f>
        <v>2.7533333333333333E-2</v>
      </c>
      <c r="L148" s="45" t="e">
        <f>L149*L150/L151</f>
        <v>#DIV/0!</v>
      </c>
    </row>
    <row r="149" spans="2:12" hidden="1" outlineLevel="1">
      <c r="B149" s="26" t="s">
        <v>156</v>
      </c>
      <c r="C149" s="26"/>
      <c r="D149" s="26">
        <f>Input_Data!C26</f>
        <v>3.6</v>
      </c>
      <c r="E149" s="26">
        <f>Input_Data!D26</f>
        <v>3.6</v>
      </c>
      <c r="F149" s="26">
        <f>Input_Data!E26</f>
        <v>3.6</v>
      </c>
      <c r="G149" s="26">
        <f>Input_Data!F26</f>
        <v>5</v>
      </c>
      <c r="H149" s="26">
        <f>Input_Data!G26</f>
        <v>5</v>
      </c>
      <c r="I149" s="26">
        <f>Input_Data!H26</f>
        <v>5</v>
      </c>
      <c r="J149" s="26">
        <f>Input_Data!I26</f>
        <v>7</v>
      </c>
      <c r="K149" s="26">
        <f>Input_Data!J26</f>
        <v>7</v>
      </c>
      <c r="L149" s="26">
        <f>Input_Data!K26</f>
        <v>0</v>
      </c>
    </row>
    <row r="150" spans="2:12" hidden="1" outlineLevel="1">
      <c r="B150" s="26" t="s">
        <v>159</v>
      </c>
      <c r="C150" s="26"/>
      <c r="D150" s="26">
        <f>Input_Data!C30</f>
        <v>295</v>
      </c>
      <c r="E150" s="26">
        <f>Input_Data!D30</f>
        <v>295</v>
      </c>
      <c r="F150" s="26">
        <f>Input_Data!E30</f>
        <v>295</v>
      </c>
      <c r="G150" s="26">
        <f>Input_Data!F30</f>
        <v>295</v>
      </c>
      <c r="H150" s="26">
        <f>Input_Data!G30</f>
        <v>295</v>
      </c>
      <c r="I150" s="26">
        <f>Input_Data!H30</f>
        <v>295</v>
      </c>
      <c r="J150" s="26">
        <f>Input_Data!I30</f>
        <v>295</v>
      </c>
      <c r="K150" s="26">
        <f>Input_Data!J30</f>
        <v>295</v>
      </c>
      <c r="L150" s="26">
        <f>Input_Data!K30</f>
        <v>0</v>
      </c>
    </row>
    <row r="151" spans="2:12" hidden="1" outlineLevel="1">
      <c r="B151" s="26" t="s">
        <v>163</v>
      </c>
      <c r="C151" s="26"/>
      <c r="D151" s="26">
        <f>Input_Data!C22</f>
        <v>80000</v>
      </c>
      <c r="E151" s="26">
        <f>Input_Data!D22</f>
        <v>80000</v>
      </c>
      <c r="F151" s="26">
        <f>Input_Data!E22</f>
        <v>80000</v>
      </c>
      <c r="G151" s="26">
        <f>Input_Data!F22</f>
        <v>75000</v>
      </c>
      <c r="H151" s="26">
        <f>Input_Data!G22</f>
        <v>75000</v>
      </c>
      <c r="I151" s="26">
        <f>Input_Data!H22</f>
        <v>75000</v>
      </c>
      <c r="J151" s="26">
        <f>Input_Data!I22</f>
        <v>75000</v>
      </c>
      <c r="K151" s="26">
        <f>Input_Data!J22</f>
        <v>75000</v>
      </c>
      <c r="L151" s="26">
        <f>Input_Data!K22</f>
        <v>0</v>
      </c>
    </row>
    <row r="152" spans="2:12" collapsed="1">
      <c r="B152" s="26" t="s">
        <v>171</v>
      </c>
      <c r="C152" s="26"/>
      <c r="D152" s="45">
        <f t="shared" ref="D152:J152" si="35">D153*D154/D155</f>
        <v>1.603125E-2</v>
      </c>
      <c r="E152" s="45">
        <f t="shared" si="35"/>
        <v>1.603125E-2</v>
      </c>
      <c r="F152" s="45">
        <f t="shared" si="35"/>
        <v>1.603125E-2</v>
      </c>
      <c r="G152" s="45">
        <f t="shared" si="35"/>
        <v>1.7100000000000001E-2</v>
      </c>
      <c r="H152" s="45">
        <f t="shared" si="35"/>
        <v>1.7100000000000001E-2</v>
      </c>
      <c r="I152" s="45">
        <f t="shared" si="35"/>
        <v>1.7100000000000001E-2</v>
      </c>
      <c r="J152" s="45">
        <f t="shared" si="35"/>
        <v>4.5600000000000002E-2</v>
      </c>
      <c r="K152" s="45">
        <f>K153*K154/K155</f>
        <v>4.5600000000000002E-2</v>
      </c>
      <c r="L152" s="45" t="e">
        <f>L153*L154/L155</f>
        <v>#DIV/0!</v>
      </c>
    </row>
    <row r="153" spans="2:12" hidden="1" outlineLevel="1">
      <c r="B153" s="26" t="s">
        <v>157</v>
      </c>
      <c r="C153" s="26"/>
      <c r="D153" s="26">
        <f>Input_Data!C27</f>
        <v>4.5</v>
      </c>
      <c r="E153" s="26">
        <f>Input_Data!D27</f>
        <v>4.5</v>
      </c>
      <c r="F153" s="26">
        <f>Input_Data!E27</f>
        <v>4.5</v>
      </c>
      <c r="G153" s="26">
        <f>Input_Data!F27</f>
        <v>4.5</v>
      </c>
      <c r="H153" s="26">
        <f>Input_Data!G27</f>
        <v>4.5</v>
      </c>
      <c r="I153" s="26">
        <f>Input_Data!H27</f>
        <v>4.5</v>
      </c>
      <c r="J153" s="26">
        <f>Input_Data!I27</f>
        <v>12</v>
      </c>
      <c r="K153" s="26">
        <f>Input_Data!J27</f>
        <v>12</v>
      </c>
      <c r="L153" s="26">
        <f>Input_Data!K27</f>
        <v>0</v>
      </c>
    </row>
    <row r="154" spans="2:12" hidden="1" outlineLevel="1">
      <c r="B154" s="26" t="s">
        <v>160</v>
      </c>
      <c r="C154" s="26"/>
      <c r="D154" s="26">
        <f>Input_Data!C31</f>
        <v>285</v>
      </c>
      <c r="E154" s="26">
        <f>Input_Data!D31</f>
        <v>285</v>
      </c>
      <c r="F154" s="26">
        <f>Input_Data!E31</f>
        <v>285</v>
      </c>
      <c r="G154" s="26">
        <f>Input_Data!F31</f>
        <v>285</v>
      </c>
      <c r="H154" s="26">
        <f>Input_Data!G31</f>
        <v>285</v>
      </c>
      <c r="I154" s="26">
        <f>Input_Data!H31</f>
        <v>285</v>
      </c>
      <c r="J154" s="26">
        <f>Input_Data!I31</f>
        <v>285</v>
      </c>
      <c r="K154" s="26">
        <f>Input_Data!J31</f>
        <v>285</v>
      </c>
      <c r="L154" s="26">
        <f>Input_Data!K31</f>
        <v>0</v>
      </c>
    </row>
    <row r="155" spans="2:12" hidden="1" outlineLevel="1">
      <c r="B155" s="26" t="s">
        <v>164</v>
      </c>
      <c r="C155" s="26"/>
      <c r="D155" s="26">
        <f>Input_Data!C23</f>
        <v>80000</v>
      </c>
      <c r="E155" s="26">
        <f>Input_Data!D23</f>
        <v>80000</v>
      </c>
      <c r="F155" s="26">
        <f>Input_Data!E23</f>
        <v>80000</v>
      </c>
      <c r="G155" s="26">
        <f>Input_Data!F23</f>
        <v>75000</v>
      </c>
      <c r="H155" s="26">
        <f>Input_Data!G23</f>
        <v>75000</v>
      </c>
      <c r="I155" s="26">
        <f>Input_Data!H23</f>
        <v>75000</v>
      </c>
      <c r="J155" s="26">
        <f>Input_Data!I23</f>
        <v>75000</v>
      </c>
      <c r="K155" s="26">
        <f>Input_Data!J23</f>
        <v>75000</v>
      </c>
      <c r="L155" s="26">
        <f>Input_Data!K23</f>
        <v>0</v>
      </c>
    </row>
    <row r="156" spans="2:12" collapsed="1">
      <c r="B156" s="26" t="s">
        <v>172</v>
      </c>
      <c r="C156" s="26"/>
      <c r="D156" s="45">
        <f t="shared" ref="D156:J156" si="36">D157*D158/D159</f>
        <v>5.0000000000000001E-3</v>
      </c>
      <c r="E156" s="45">
        <f t="shared" si="36"/>
        <v>5.0000000000000001E-3</v>
      </c>
      <c r="F156" s="45">
        <f t="shared" si="36"/>
        <v>1.2500000000000001E-2</v>
      </c>
      <c r="G156" s="45">
        <f t="shared" si="36"/>
        <v>1.3333333333333334E-2</v>
      </c>
      <c r="H156" s="45">
        <f t="shared" si="36"/>
        <v>1.3333333333333334E-2</v>
      </c>
      <c r="I156" s="45">
        <f t="shared" si="36"/>
        <v>1.3333333333333334E-2</v>
      </c>
      <c r="J156" s="45">
        <f t="shared" si="36"/>
        <v>1.3333333333333334E-2</v>
      </c>
      <c r="K156" s="45">
        <f>K157*K158/K159</f>
        <v>1.3333333333333334E-2</v>
      </c>
      <c r="L156" s="45" t="e">
        <f>L157*L158/L159</f>
        <v>#DIV/0!</v>
      </c>
    </row>
    <row r="157" spans="2:12" hidden="1" outlineLevel="1">
      <c r="B157" s="26" t="s">
        <v>158</v>
      </c>
      <c r="C157" s="26"/>
      <c r="D157" s="26">
        <f>Input_Data!C28</f>
        <v>2</v>
      </c>
      <c r="E157" s="26">
        <f>Input_Data!D28</f>
        <v>2</v>
      </c>
      <c r="F157" s="26">
        <f>Input_Data!E28</f>
        <v>5</v>
      </c>
      <c r="G157" s="26">
        <f>Input_Data!F28</f>
        <v>5</v>
      </c>
      <c r="H157" s="26">
        <f>Input_Data!G28</f>
        <v>5</v>
      </c>
      <c r="I157" s="26">
        <f>Input_Data!H28</f>
        <v>5</v>
      </c>
      <c r="J157" s="26">
        <f>Input_Data!I28</f>
        <v>5</v>
      </c>
      <c r="K157" s="26">
        <f>Input_Data!J28</f>
        <v>5</v>
      </c>
      <c r="L157" s="26">
        <f>Input_Data!K28</f>
        <v>0</v>
      </c>
    </row>
    <row r="158" spans="2:12" hidden="1" outlineLevel="1">
      <c r="B158" s="26" t="s">
        <v>161</v>
      </c>
      <c r="C158" s="27"/>
      <c r="D158" s="26">
        <f>Input_Data!C32</f>
        <v>400</v>
      </c>
      <c r="E158" s="26">
        <f>Input_Data!D32</f>
        <v>400</v>
      </c>
      <c r="F158" s="26">
        <f>Input_Data!E32</f>
        <v>400</v>
      </c>
      <c r="G158" s="26">
        <f>Input_Data!F32</f>
        <v>400</v>
      </c>
      <c r="H158" s="26">
        <f>Input_Data!G32</f>
        <v>400</v>
      </c>
      <c r="I158" s="26">
        <f>Input_Data!H32</f>
        <v>400</v>
      </c>
      <c r="J158" s="26">
        <f>Input_Data!I32</f>
        <v>400</v>
      </c>
      <c r="K158" s="26">
        <f>Input_Data!J32</f>
        <v>400</v>
      </c>
      <c r="L158" s="26">
        <f>Input_Data!K32</f>
        <v>0</v>
      </c>
    </row>
    <row r="159" spans="2:12" hidden="1" outlineLevel="1">
      <c r="B159" s="26" t="s">
        <v>165</v>
      </c>
      <c r="C159" s="26"/>
      <c r="D159" s="26">
        <f>Input_Data!C24</f>
        <v>160000</v>
      </c>
      <c r="E159" s="26">
        <f>Input_Data!D24</f>
        <v>160000</v>
      </c>
      <c r="F159" s="26">
        <f>Input_Data!E24</f>
        <v>160000</v>
      </c>
      <c r="G159" s="26">
        <f>Input_Data!F24</f>
        <v>150000</v>
      </c>
      <c r="H159" s="26">
        <f>Input_Data!G24</f>
        <v>150000</v>
      </c>
      <c r="I159" s="26">
        <f>Input_Data!H24</f>
        <v>150000</v>
      </c>
      <c r="J159" s="26">
        <f>Input_Data!I24</f>
        <v>150000</v>
      </c>
      <c r="K159" s="26">
        <f>Input_Data!J24</f>
        <v>150000</v>
      </c>
      <c r="L159" s="26">
        <f>Input_Data!K24</f>
        <v>0</v>
      </c>
    </row>
    <row r="160" spans="2:12" collapsed="1">
      <c r="B160" s="26" t="s">
        <v>173</v>
      </c>
      <c r="C160" s="26"/>
      <c r="D160" s="45">
        <f>D161/D162</f>
        <v>3.5999999999999997E-2</v>
      </c>
      <c r="E160" s="45">
        <f t="shared" ref="E160:J160" si="37">E161/E162</f>
        <v>3.5999999999999997E-2</v>
      </c>
      <c r="F160" s="45">
        <f t="shared" si="37"/>
        <v>3.5999999999999997E-2</v>
      </c>
      <c r="G160" s="45">
        <f t="shared" si="37"/>
        <v>4.1142857142857141E-2</v>
      </c>
      <c r="H160" s="45">
        <f t="shared" si="37"/>
        <v>4.1142857142857141E-2</v>
      </c>
      <c r="I160" s="45">
        <f t="shared" si="37"/>
        <v>4.8000000000000001E-2</v>
      </c>
      <c r="J160" s="45">
        <f t="shared" si="37"/>
        <v>8.5714285714285715E-2</v>
      </c>
      <c r="K160" s="45">
        <f>K161/K162</f>
        <v>8.1081081081081086E-2</v>
      </c>
      <c r="L160" s="45" t="e">
        <f>L161/L162</f>
        <v>#DIV/0!</v>
      </c>
    </row>
    <row r="161" spans="2:12" hidden="1" outlineLevel="1">
      <c r="B161" s="26" t="s">
        <v>166</v>
      </c>
      <c r="C161" s="26"/>
      <c r="D161" s="26">
        <f>Input_Data!C35</f>
        <v>1440</v>
      </c>
      <c r="E161" s="26">
        <f>Input_Data!D35</f>
        <v>1440</v>
      </c>
      <c r="F161" s="26">
        <f>Input_Data!E35</f>
        <v>1440</v>
      </c>
      <c r="G161" s="26">
        <f>Input_Data!F35</f>
        <v>1440</v>
      </c>
      <c r="H161" s="26">
        <f>Input_Data!G35</f>
        <v>1440</v>
      </c>
      <c r="I161" s="26">
        <f>Input_Data!H35</f>
        <v>1440</v>
      </c>
      <c r="J161" s="26">
        <f>Input_Data!I35</f>
        <v>3000</v>
      </c>
      <c r="K161" s="26">
        <f>Input_Data!J35</f>
        <v>3000</v>
      </c>
      <c r="L161" s="26">
        <f>Input_Data!K35</f>
        <v>0</v>
      </c>
    </row>
    <row r="162" spans="2:12" hidden="1" outlineLevel="1">
      <c r="B162" s="26" t="s">
        <v>30</v>
      </c>
      <c r="C162" s="26"/>
      <c r="D162" s="26">
        <f>Input_Data!C33</f>
        <v>40000</v>
      </c>
      <c r="E162" s="26">
        <f>Input_Data!D33</f>
        <v>40000</v>
      </c>
      <c r="F162" s="26">
        <f>Input_Data!E33</f>
        <v>40000</v>
      </c>
      <c r="G162" s="26">
        <f>Input_Data!F33</f>
        <v>35000</v>
      </c>
      <c r="H162" s="26">
        <f>Input_Data!G33</f>
        <v>35000</v>
      </c>
      <c r="I162" s="26">
        <f>Input_Data!H33</f>
        <v>30000</v>
      </c>
      <c r="J162" s="26">
        <f>Input_Data!I33</f>
        <v>35000</v>
      </c>
      <c r="K162" s="26">
        <f>Input_Data!J33</f>
        <v>37000</v>
      </c>
      <c r="L162" s="26">
        <f>Input_Data!K33</f>
        <v>0</v>
      </c>
    </row>
    <row r="163" spans="2:12" collapsed="1">
      <c r="B163" s="26" t="s">
        <v>174</v>
      </c>
      <c r="C163" s="26"/>
      <c r="D163" s="26">
        <f>D164/D165</f>
        <v>2.2200000000000001E-2</v>
      </c>
      <c r="E163" s="45">
        <f t="shared" ref="E163:J163" si="38">E164/E165</f>
        <v>2.2200000000000001E-2</v>
      </c>
      <c r="F163" s="45">
        <f t="shared" si="38"/>
        <v>2.775E-2</v>
      </c>
      <c r="G163" s="45">
        <f t="shared" si="38"/>
        <v>2.775E-2</v>
      </c>
      <c r="H163" s="45">
        <f t="shared" si="38"/>
        <v>2.775E-2</v>
      </c>
      <c r="I163" s="45">
        <f t="shared" si="38"/>
        <v>3.1714285714285716E-2</v>
      </c>
      <c r="J163" s="45">
        <f t="shared" si="38"/>
        <v>3.1428571428571431E-2</v>
      </c>
      <c r="K163" s="45">
        <f>K164/K165</f>
        <v>3.6666666666666667E-2</v>
      </c>
      <c r="L163" s="45" t="e">
        <f>L164/L165</f>
        <v>#DIV/0!</v>
      </c>
    </row>
    <row r="164" spans="2:12" hidden="1" outlineLevel="1">
      <c r="B164" s="26" t="s">
        <v>167</v>
      </c>
      <c r="C164" s="26"/>
      <c r="D164" s="26">
        <f>Input_Data!C36</f>
        <v>2220</v>
      </c>
      <c r="E164" s="26">
        <f>Input_Data!D36</f>
        <v>2220</v>
      </c>
      <c r="F164" s="26">
        <f>Input_Data!E36</f>
        <v>2220</v>
      </c>
      <c r="G164" s="26">
        <f>Input_Data!F36</f>
        <v>2220</v>
      </c>
      <c r="H164" s="26">
        <f>Input_Data!G36</f>
        <v>2220</v>
      </c>
      <c r="I164" s="26">
        <f>Input_Data!H36</f>
        <v>2220</v>
      </c>
      <c r="J164" s="26">
        <f>Input_Data!I36</f>
        <v>2200</v>
      </c>
      <c r="K164" s="26">
        <f>Input_Data!J36</f>
        <v>2200</v>
      </c>
      <c r="L164" s="26">
        <f>Input_Data!K36</f>
        <v>0</v>
      </c>
    </row>
    <row r="165" spans="2:12" hidden="1" outlineLevel="1">
      <c r="B165" s="26" t="s">
        <v>168</v>
      </c>
      <c r="C165" s="26"/>
      <c r="D165" s="26">
        <f>Input_Data!C34</f>
        <v>100000</v>
      </c>
      <c r="E165" s="26">
        <f>Input_Data!D34</f>
        <v>100000</v>
      </c>
      <c r="F165" s="26">
        <f>Input_Data!E34</f>
        <v>80000</v>
      </c>
      <c r="G165" s="26">
        <f>Input_Data!F34</f>
        <v>80000</v>
      </c>
      <c r="H165" s="26">
        <f>Input_Data!G34</f>
        <v>80000</v>
      </c>
      <c r="I165" s="26">
        <f>Input_Data!H34</f>
        <v>70000</v>
      </c>
      <c r="J165" s="26">
        <f>Input_Data!I34</f>
        <v>70000</v>
      </c>
      <c r="K165" s="26">
        <f>Input_Data!J34</f>
        <v>60000</v>
      </c>
      <c r="L165" s="26">
        <f>Input_Data!K34</f>
        <v>0</v>
      </c>
    </row>
    <row r="166" spans="2:12" collapsed="1">
      <c r="B166" s="26" t="s">
        <v>179</v>
      </c>
      <c r="C166" s="26"/>
      <c r="D166" s="26">
        <f t="shared" ref="D166:J166" si="39">D168/D167</f>
        <v>0.12</v>
      </c>
      <c r="E166" s="26">
        <f t="shared" si="39"/>
        <v>0.12</v>
      </c>
      <c r="F166" s="26">
        <f t="shared" si="39"/>
        <v>0.12</v>
      </c>
      <c r="G166" s="26">
        <f t="shared" si="39"/>
        <v>0.12</v>
      </c>
      <c r="H166" s="26">
        <f t="shared" si="39"/>
        <v>0.12</v>
      </c>
      <c r="I166" s="26">
        <f t="shared" si="39"/>
        <v>0.12</v>
      </c>
      <c r="J166" s="26">
        <f t="shared" si="39"/>
        <v>0.24</v>
      </c>
      <c r="K166" s="26">
        <f>K168/K167</f>
        <v>0.24</v>
      </c>
      <c r="L166" s="26">
        <f>L168/L167</f>
        <v>0</v>
      </c>
    </row>
    <row r="167" spans="2:12" hidden="1" outlineLevel="1">
      <c r="B167" s="26" t="s">
        <v>177</v>
      </c>
      <c r="C167" s="26">
        <f>Guidelines!$C$15</f>
        <v>100000</v>
      </c>
      <c r="D167" s="26">
        <f>$C167</f>
        <v>100000</v>
      </c>
      <c r="E167" s="26">
        <f t="shared" ref="E167:L167" si="40">$C167</f>
        <v>100000</v>
      </c>
      <c r="F167" s="26">
        <f t="shared" si="40"/>
        <v>100000</v>
      </c>
      <c r="G167" s="26">
        <f t="shared" si="40"/>
        <v>100000</v>
      </c>
      <c r="H167" s="26">
        <f t="shared" si="40"/>
        <v>100000</v>
      </c>
      <c r="I167" s="26">
        <f t="shared" si="40"/>
        <v>100000</v>
      </c>
      <c r="J167" s="26">
        <f t="shared" si="40"/>
        <v>100000</v>
      </c>
      <c r="K167" s="26">
        <f t="shared" si="40"/>
        <v>100000</v>
      </c>
      <c r="L167" s="26">
        <f t="shared" si="40"/>
        <v>100000</v>
      </c>
    </row>
    <row r="168" spans="2:12" hidden="1" outlineLevel="1">
      <c r="B168" s="26" t="s">
        <v>178</v>
      </c>
      <c r="C168" s="26">
        <f>Guidelines!$C$16</f>
        <v>12000</v>
      </c>
      <c r="D168" s="26">
        <f>$C168*Input_Data!C46</f>
        <v>12000</v>
      </c>
      <c r="E168" s="26">
        <f>$C168*Input_Data!D46</f>
        <v>12000</v>
      </c>
      <c r="F168" s="26">
        <f>$C168*Input_Data!E46</f>
        <v>12000</v>
      </c>
      <c r="G168" s="26">
        <f>$C168*Input_Data!F46</f>
        <v>12000</v>
      </c>
      <c r="H168" s="26">
        <f>$C168*Input_Data!G46</f>
        <v>12000</v>
      </c>
      <c r="I168" s="26">
        <f>$C168*Input_Data!H46</f>
        <v>12000</v>
      </c>
      <c r="J168" s="26">
        <f>$C168*Input_Data!I46</f>
        <v>24000</v>
      </c>
      <c r="K168" s="26">
        <f>$C168*Input_Data!J46</f>
        <v>24000</v>
      </c>
      <c r="L168" s="26">
        <f>$C168*Input_Data!K46</f>
        <v>0</v>
      </c>
    </row>
    <row r="169" spans="2:12" collapsed="1"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</row>
    <row r="170" spans="2:12"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</row>
    <row r="171" spans="2:12" ht="15.35">
      <c r="B171" s="64" t="s">
        <v>189</v>
      </c>
      <c r="C171" s="64"/>
      <c r="D171" s="64"/>
      <c r="E171" s="64"/>
      <c r="F171" s="64"/>
      <c r="G171" s="64"/>
      <c r="H171" s="64"/>
      <c r="I171" s="64"/>
      <c r="J171" s="64"/>
      <c r="K171" s="64"/>
      <c r="L171" s="64"/>
    </row>
    <row r="172" spans="2:12">
      <c r="B172" s="38" t="s">
        <v>10</v>
      </c>
      <c r="C172" s="38" t="s">
        <v>42</v>
      </c>
      <c r="D172" s="25" t="s">
        <v>780</v>
      </c>
      <c r="E172" s="25" t="s">
        <v>781</v>
      </c>
      <c r="F172" s="25" t="s">
        <v>773</v>
      </c>
      <c r="G172" s="25" t="s">
        <v>777</v>
      </c>
      <c r="H172" s="25" t="s">
        <v>778</v>
      </c>
      <c r="I172" s="25" t="s">
        <v>779</v>
      </c>
      <c r="J172" s="25" t="s">
        <v>774</v>
      </c>
      <c r="K172" s="25" t="s">
        <v>775</v>
      </c>
      <c r="L172" s="25" t="s">
        <v>776</v>
      </c>
    </row>
    <row r="173" spans="2:12">
      <c r="B173" s="28" t="s">
        <v>195</v>
      </c>
      <c r="C173" s="29"/>
      <c r="D173" s="43">
        <f>D177/Input_Data!C44/2</f>
        <v>0.26978417266187049</v>
      </c>
      <c r="E173" s="43">
        <f>E177/Input_Data!D44/2</f>
        <v>0.26978417266187049</v>
      </c>
      <c r="F173" s="43">
        <f>F177/Input_Data!E44/2</f>
        <v>0.26978417266187049</v>
      </c>
      <c r="G173" s="43">
        <f>G177/Input_Data!F44/2</f>
        <v>0.29226618705035973</v>
      </c>
      <c r="H173" s="43">
        <f>H177/Input_Data!G44/2</f>
        <v>0.29226618705035973</v>
      </c>
      <c r="I173" s="43">
        <f>I177/Input_Data!H44/2</f>
        <v>0.29226618705035973</v>
      </c>
      <c r="J173" s="43">
        <f>J177/Input_Data!I44/2</f>
        <v>0</v>
      </c>
      <c r="K173" s="43">
        <f>K177/Input_Data!J44/2</f>
        <v>0.31474820143884891</v>
      </c>
      <c r="L173" s="43" t="e">
        <f>L177/Input_Data!K44/2</f>
        <v>#DIV/0!</v>
      </c>
    </row>
    <row r="174" spans="2:12" hidden="1" outlineLevel="1">
      <c r="B174" s="28" t="s">
        <v>190</v>
      </c>
      <c r="C174" s="29"/>
      <c r="D174" s="44">
        <f>Input_Data!C41</f>
        <v>1200</v>
      </c>
      <c r="E174" s="44">
        <f>Input_Data!D41</f>
        <v>1200</v>
      </c>
      <c r="F174" s="44">
        <f>Input_Data!E41</f>
        <v>1200</v>
      </c>
      <c r="G174" s="44">
        <f>Input_Data!F41</f>
        <v>1300</v>
      </c>
      <c r="H174" s="44">
        <f>Input_Data!G41</f>
        <v>1300</v>
      </c>
      <c r="I174" s="44">
        <f>Input_Data!H41</f>
        <v>1300</v>
      </c>
      <c r="J174" s="44">
        <f>Input_Data!I41</f>
        <v>0</v>
      </c>
      <c r="K174" s="44">
        <f>Input_Data!J41</f>
        <v>1400</v>
      </c>
      <c r="L174" s="44">
        <f>Input_Data!K41</f>
        <v>0</v>
      </c>
    </row>
    <row r="175" spans="2:12" hidden="1" outlineLevel="1">
      <c r="B175" s="28" t="s">
        <v>268</v>
      </c>
      <c r="C175" s="29"/>
      <c r="D175" s="44">
        <f>Input_Data!C42</f>
        <v>0</v>
      </c>
      <c r="E175" s="44">
        <f>Input_Data!D42</f>
        <v>0</v>
      </c>
      <c r="F175" s="44">
        <f>Input_Data!E42</f>
        <v>0</v>
      </c>
      <c r="G175" s="44">
        <f>Input_Data!F42</f>
        <v>0</v>
      </c>
      <c r="H175" s="44">
        <f>Input_Data!G42</f>
        <v>0</v>
      </c>
      <c r="I175" s="44">
        <f>Input_Data!H42</f>
        <v>0</v>
      </c>
      <c r="J175" s="44">
        <f>Input_Data!I42</f>
        <v>0</v>
      </c>
      <c r="K175" s="44">
        <f>Input_Data!J42</f>
        <v>0</v>
      </c>
      <c r="L175" s="44">
        <f>Input_Data!K42</f>
        <v>0</v>
      </c>
    </row>
    <row r="176" spans="2:12" hidden="1" outlineLevel="1">
      <c r="B176" s="28" t="s">
        <v>193</v>
      </c>
      <c r="C176" s="29"/>
      <c r="D176" s="44">
        <f>Input_Data!C43</f>
        <v>0</v>
      </c>
      <c r="E176" s="44">
        <f>Input_Data!D43</f>
        <v>0</v>
      </c>
      <c r="F176" s="44">
        <f>Input_Data!E43</f>
        <v>0</v>
      </c>
      <c r="G176" s="44">
        <f>Input_Data!F43</f>
        <v>0</v>
      </c>
      <c r="H176" s="44">
        <f>Input_Data!G43</f>
        <v>0</v>
      </c>
      <c r="I176" s="44">
        <f>Input_Data!H43</f>
        <v>0</v>
      </c>
      <c r="J176" s="44">
        <f>Input_Data!I43</f>
        <v>0</v>
      </c>
      <c r="K176" s="44">
        <f>Input_Data!J43</f>
        <v>0</v>
      </c>
      <c r="L176" s="44">
        <f>Input_Data!K43</f>
        <v>0</v>
      </c>
    </row>
    <row r="177" spans="2:12" hidden="1" outlineLevel="1">
      <c r="B177" s="28" t="s">
        <v>194</v>
      </c>
      <c r="C177" s="29"/>
      <c r="D177" s="44">
        <f>SUM(D174:D176)</f>
        <v>1200</v>
      </c>
      <c r="E177" s="44">
        <f t="shared" ref="E177:J177" si="41">SUM(E174:E176)</f>
        <v>1200</v>
      </c>
      <c r="F177" s="44">
        <f t="shared" si="41"/>
        <v>1200</v>
      </c>
      <c r="G177" s="44">
        <f t="shared" si="41"/>
        <v>1300</v>
      </c>
      <c r="H177" s="44">
        <f t="shared" si="41"/>
        <v>1300</v>
      </c>
      <c r="I177" s="44">
        <f t="shared" si="41"/>
        <v>1300</v>
      </c>
      <c r="J177" s="44">
        <f t="shared" si="41"/>
        <v>0</v>
      </c>
      <c r="K177" s="44">
        <f>SUM(K174:K176)</f>
        <v>1400</v>
      </c>
      <c r="L177" s="44">
        <f>SUM(L174:L176)</f>
        <v>0</v>
      </c>
    </row>
    <row r="178" spans="2:12" collapsed="1"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</row>
    <row r="179" spans="2:12"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</row>
    <row r="180" spans="2:12" ht="15.35">
      <c r="B180" s="64" t="s">
        <v>198</v>
      </c>
      <c r="C180" s="64"/>
      <c r="D180" s="64"/>
      <c r="E180" s="64"/>
      <c r="F180" s="64"/>
      <c r="G180" s="64"/>
      <c r="H180" s="64"/>
      <c r="I180" s="64"/>
      <c r="J180" s="64"/>
      <c r="K180" s="64"/>
      <c r="L180" s="64"/>
    </row>
    <row r="181" spans="2:12">
      <c r="B181" s="38" t="s">
        <v>10</v>
      </c>
      <c r="C181" s="38" t="s">
        <v>42</v>
      </c>
      <c r="D181" s="25" t="s">
        <v>780</v>
      </c>
      <c r="E181" s="25" t="s">
        <v>781</v>
      </c>
      <c r="F181" s="25" t="s">
        <v>773</v>
      </c>
      <c r="G181" s="25" t="s">
        <v>777</v>
      </c>
      <c r="H181" s="25" t="s">
        <v>778</v>
      </c>
      <c r="I181" s="25" t="s">
        <v>779</v>
      </c>
      <c r="J181" s="25" t="s">
        <v>774</v>
      </c>
      <c r="K181" s="25" t="s">
        <v>775</v>
      </c>
      <c r="L181" s="25" t="s">
        <v>776</v>
      </c>
    </row>
    <row r="182" spans="2:12">
      <c r="B182" s="26" t="s">
        <v>212</v>
      </c>
      <c r="C182" s="26"/>
      <c r="D182" s="26">
        <f>IF(D201*Input_Data!C44*2*12&gt;Input_Data!C40,Input_Data!C40/Input_Data!C44/2/12,'Master Sheet'!D201)</f>
        <v>1.3489208633093526</v>
      </c>
      <c r="E182" s="26">
        <f>IF(E201*Input_Data!D44*2*12&gt;Input_Data!D40,Input_Data!D40/Input_Data!D44/2/12,'Master Sheet'!E201)</f>
        <v>1.3489208633093526</v>
      </c>
      <c r="F182" s="26">
        <f>IF(F201*Input_Data!E44*2*12&gt;Input_Data!E40,Input_Data!E40/Input_Data!E44/2/12,'Master Sheet'!F201)</f>
        <v>1.3489208633093526</v>
      </c>
      <c r="G182" s="26">
        <f>IF(G201*Input_Data!F44*2*12&gt;Input_Data!F40,Input_Data!F40/Input_Data!F44/2/12,'Master Sheet'!G201)</f>
        <v>1.3489208633093526</v>
      </c>
      <c r="H182" s="26">
        <f>IF(H201*Input_Data!G44*2*12&gt;Input_Data!G40,Input_Data!G40/Input_Data!G44/2/12,'Master Sheet'!H201)</f>
        <v>1.3489208633093526</v>
      </c>
      <c r="I182" s="26">
        <f>IF(I201*Input_Data!H44*2*12&gt;Input_Data!H40,Input_Data!H40/Input_Data!H44/2/12,'Master Sheet'!I201)</f>
        <v>1.3489208633093526</v>
      </c>
      <c r="J182" s="26">
        <f>IF(J201*Input_Data!I44*2*12&gt;Input_Data!I40,Input_Data!I40/Input_Data!I44/2/12,'Master Sheet'!J201)</f>
        <v>1.3489208633093526</v>
      </c>
      <c r="K182" s="26">
        <f>IF(K201*Input_Data!J44*2*12&gt;Input_Data!J40,Input_Data!J40/Input_Data!J44/2/12,'Master Sheet'!K201)</f>
        <v>1.3489208633093526</v>
      </c>
      <c r="L182" s="26" t="e">
        <f>IF(L201*Input_Data!K44*2*12&gt;Input_Data!K40,Input_Data!K40/Input_Data!K44/2/12,'Master Sheet'!L201)</f>
        <v>#DIV/0!</v>
      </c>
    </row>
    <row r="183" spans="2:12">
      <c r="B183" s="26" t="s">
        <v>214</v>
      </c>
      <c r="C183" s="26"/>
      <c r="D183" s="26">
        <f>IF(D202*Input_Data!C44*2*12&gt;Input_Data!C40,Input_Data!C40/Input_Data!C44/2/12,'Master Sheet'!D202)</f>
        <v>1.3489208633093526</v>
      </c>
      <c r="E183" s="26">
        <f>IF(E202*Input_Data!D44*2*12&gt;Input_Data!D40,Input_Data!D40/Input_Data!D44/2/12,'Master Sheet'!E202)</f>
        <v>1.3489208633093526</v>
      </c>
      <c r="F183" s="26">
        <f>IF(F202*Input_Data!E44*2*12&gt;Input_Data!E40,Input_Data!E40/Input_Data!E44/2/12,'Master Sheet'!F202)</f>
        <v>1.3489208633093526</v>
      </c>
      <c r="G183" s="26">
        <f>IF(G202*Input_Data!F44*2*12&gt;Input_Data!F40,Input_Data!F40/Input_Data!F44/2/12,'Master Sheet'!G202)</f>
        <v>1.3489208633093526</v>
      </c>
      <c r="H183" s="26">
        <f>IF(H202*Input_Data!G44*2*12&gt;Input_Data!G40,Input_Data!G40/Input_Data!G44/2/12,'Master Sheet'!H202)</f>
        <v>1.3489208633093526</v>
      </c>
      <c r="I183" s="26">
        <f>IF(I202*Input_Data!H44*2*12&gt;Input_Data!H40,Input_Data!H40/Input_Data!H44/2/12,'Master Sheet'!I202)</f>
        <v>1.3489208633093526</v>
      </c>
      <c r="J183" s="26">
        <f>IF(J202*Input_Data!I44*2*12&gt;Input_Data!I40,Input_Data!I40/Input_Data!I44/2/12,'Master Sheet'!J202)</f>
        <v>1.3489208633093526</v>
      </c>
      <c r="K183" s="26">
        <f>IF(K202*Input_Data!J44*2*12&gt;Input_Data!J40,Input_Data!J40/Input_Data!J44/2/12,'Master Sheet'!K202)</f>
        <v>1.3489208633093526</v>
      </c>
      <c r="L183" s="26" t="e">
        <f>IF(L202*Input_Data!K44*2*12&gt;Input_Data!K40,Input_Data!K40/Input_Data!K44/2/12,'Master Sheet'!L202)</f>
        <v>#DIV/0!</v>
      </c>
    </row>
    <row r="184" spans="2:12">
      <c r="B184" s="26" t="s">
        <v>218</v>
      </c>
      <c r="C184" s="26"/>
      <c r="D184" s="26">
        <f>D182*Input_Data!C44*2*12</f>
        <v>72000</v>
      </c>
      <c r="E184" s="26">
        <f>E182*Input_Data!D44*2*12</f>
        <v>72000</v>
      </c>
      <c r="F184" s="26">
        <f>F182*Input_Data!E44*2*12</f>
        <v>72000</v>
      </c>
      <c r="G184" s="26">
        <f>G182*Input_Data!F44*2*12</f>
        <v>72000</v>
      </c>
      <c r="H184" s="26">
        <f>H182*Input_Data!G44*2*12</f>
        <v>72000</v>
      </c>
      <c r="I184" s="26">
        <f>I182*Input_Data!H44*2*12</f>
        <v>72000</v>
      </c>
      <c r="J184" s="26">
        <f>J182*Input_Data!I44*2*12</f>
        <v>72000</v>
      </c>
      <c r="K184" s="26">
        <f>K182*Input_Data!J44*2*12</f>
        <v>72000</v>
      </c>
      <c r="L184" s="26" t="e">
        <f>L182*Input_Data!K44*2*12</f>
        <v>#DIV/0!</v>
      </c>
    </row>
    <row r="185" spans="2:12">
      <c r="B185" s="26" t="s">
        <v>219</v>
      </c>
      <c r="C185" s="26"/>
      <c r="D185" s="26">
        <f>D183*Input_Data!C44*2*12</f>
        <v>72000</v>
      </c>
      <c r="E185" s="26">
        <f>E183*Input_Data!D44*2*12</f>
        <v>72000</v>
      </c>
      <c r="F185" s="26">
        <f>F183*Input_Data!E44*2*12</f>
        <v>72000</v>
      </c>
      <c r="G185" s="26">
        <f>G183*Input_Data!F44*2*12</f>
        <v>72000</v>
      </c>
      <c r="H185" s="26">
        <f>H183*Input_Data!G44*2*12</f>
        <v>72000</v>
      </c>
      <c r="I185" s="26">
        <f>I183*Input_Data!H44*2*12</f>
        <v>72000</v>
      </c>
      <c r="J185" s="26">
        <f>J183*Input_Data!I44*2*12</f>
        <v>72000</v>
      </c>
      <c r="K185" s="26">
        <f>K183*Input_Data!J44*2*12</f>
        <v>72000</v>
      </c>
      <c r="L185" s="26" t="e">
        <f>L183*Input_Data!K44*2*12</f>
        <v>#DIV/0!</v>
      </c>
    </row>
    <row r="186" spans="2:12" outlineLevel="1">
      <c r="B186" s="28" t="s">
        <v>199</v>
      </c>
      <c r="C186" s="42">
        <f>Guidelines!$C$17</f>
        <v>150</v>
      </c>
      <c r="D186" s="44">
        <f>$C186</f>
        <v>150</v>
      </c>
      <c r="E186" s="44">
        <f t="shared" ref="E186:L186" si="42">$C186</f>
        <v>150</v>
      </c>
      <c r="F186" s="44">
        <f t="shared" si="42"/>
        <v>150</v>
      </c>
      <c r="G186" s="44">
        <f t="shared" si="42"/>
        <v>150</v>
      </c>
      <c r="H186" s="44">
        <f t="shared" si="42"/>
        <v>150</v>
      </c>
      <c r="I186" s="44">
        <f t="shared" si="42"/>
        <v>150</v>
      </c>
      <c r="J186" s="44">
        <f t="shared" si="42"/>
        <v>150</v>
      </c>
      <c r="K186" s="44">
        <f t="shared" si="42"/>
        <v>150</v>
      </c>
      <c r="L186" s="44">
        <f t="shared" si="42"/>
        <v>150</v>
      </c>
    </row>
    <row r="187" spans="2:12" outlineLevel="1">
      <c r="B187" s="28" t="s">
        <v>200</v>
      </c>
      <c r="C187" s="42"/>
      <c r="D187" s="44">
        <f>Input_Data!C37</f>
        <v>50</v>
      </c>
      <c r="E187" s="44">
        <f>Input_Data!D37</f>
        <v>50</v>
      </c>
      <c r="F187" s="44">
        <f>Input_Data!E37</f>
        <v>50</v>
      </c>
      <c r="G187" s="44">
        <f>Input_Data!F37</f>
        <v>50</v>
      </c>
      <c r="H187" s="44">
        <f>Input_Data!G37</f>
        <v>50</v>
      </c>
      <c r="I187" s="44">
        <f>Input_Data!H37</f>
        <v>50</v>
      </c>
      <c r="J187" s="44">
        <f>Input_Data!I37</f>
        <v>50</v>
      </c>
      <c r="K187" s="44">
        <f>Input_Data!J37</f>
        <v>50</v>
      </c>
      <c r="L187" s="44">
        <f>Input_Data!K37</f>
        <v>0</v>
      </c>
    </row>
    <row r="188" spans="2:12" outlineLevel="1">
      <c r="B188" s="28" t="s">
        <v>206</v>
      </c>
      <c r="C188" s="42">
        <f>Guidelines!$C$18</f>
        <v>2</v>
      </c>
      <c r="D188" s="44">
        <f>$C188</f>
        <v>2</v>
      </c>
      <c r="E188" s="44">
        <f t="shared" ref="E188:L200" si="43">$C188</f>
        <v>2</v>
      </c>
      <c r="F188" s="44">
        <f t="shared" si="43"/>
        <v>2</v>
      </c>
      <c r="G188" s="44">
        <f t="shared" si="43"/>
        <v>2</v>
      </c>
      <c r="H188" s="44">
        <f t="shared" si="43"/>
        <v>2</v>
      </c>
      <c r="I188" s="44">
        <f t="shared" si="43"/>
        <v>2</v>
      </c>
      <c r="J188" s="44">
        <f t="shared" si="43"/>
        <v>2</v>
      </c>
      <c r="K188" s="44">
        <f t="shared" si="43"/>
        <v>2</v>
      </c>
      <c r="L188" s="44">
        <f t="shared" si="43"/>
        <v>2</v>
      </c>
    </row>
    <row r="189" spans="2:12" outlineLevel="1">
      <c r="B189" s="26" t="s">
        <v>207</v>
      </c>
      <c r="C189" s="42">
        <f>Guidelines!$C$19</f>
        <v>4</v>
      </c>
      <c r="D189" s="44">
        <f>$C189</f>
        <v>4</v>
      </c>
      <c r="E189" s="44">
        <f t="shared" si="43"/>
        <v>4</v>
      </c>
      <c r="F189" s="44">
        <f t="shared" si="43"/>
        <v>4</v>
      </c>
      <c r="G189" s="44">
        <f t="shared" si="43"/>
        <v>4</v>
      </c>
      <c r="H189" s="44">
        <f t="shared" si="43"/>
        <v>4</v>
      </c>
      <c r="I189" s="44">
        <f t="shared" si="43"/>
        <v>4</v>
      </c>
      <c r="J189" s="44">
        <f t="shared" si="43"/>
        <v>4</v>
      </c>
      <c r="K189" s="44">
        <f t="shared" si="43"/>
        <v>4</v>
      </c>
      <c r="L189" s="44">
        <f t="shared" si="43"/>
        <v>4</v>
      </c>
    </row>
    <row r="190" spans="2:12" outlineLevel="1">
      <c r="B190" s="26" t="s">
        <v>208</v>
      </c>
      <c r="C190" s="26"/>
      <c r="D190" s="26">
        <f>ROUNDUP(Input_Data!C44/'Master Sheet'!D187,0)</f>
        <v>45</v>
      </c>
      <c r="E190" s="26">
        <f>ROUNDUP(Input_Data!D44/'Master Sheet'!E187,0)</f>
        <v>45</v>
      </c>
      <c r="F190" s="26">
        <f>ROUNDUP(Input_Data!E44/'Master Sheet'!F187,0)</f>
        <v>45</v>
      </c>
      <c r="G190" s="26">
        <f>ROUNDUP(Input_Data!F44/'Master Sheet'!G187,0)</f>
        <v>45</v>
      </c>
      <c r="H190" s="26">
        <f>ROUNDUP(Input_Data!G44/'Master Sheet'!H187,0)</f>
        <v>45</v>
      </c>
      <c r="I190" s="26">
        <f>ROUNDUP(Input_Data!H44/'Master Sheet'!I187,0)</f>
        <v>45</v>
      </c>
      <c r="J190" s="26">
        <f>ROUNDUP(Input_Data!I44/'Master Sheet'!J187,0)</f>
        <v>45</v>
      </c>
      <c r="K190" s="26">
        <f>ROUNDUP(Input_Data!J44/'Master Sheet'!K187,0)</f>
        <v>45</v>
      </c>
      <c r="L190" s="26" t="e">
        <f>ROUNDUP(Input_Data!K44/'Master Sheet'!L187,0)</f>
        <v>#DIV/0!</v>
      </c>
    </row>
    <row r="191" spans="2:12" outlineLevel="1">
      <c r="B191" s="26" t="s">
        <v>209</v>
      </c>
      <c r="C191" s="26">
        <f>Guidelines!$C$19</f>
        <v>4</v>
      </c>
      <c r="D191" s="44">
        <f t="shared" ref="D191:D196" si="44">$C191</f>
        <v>4</v>
      </c>
      <c r="E191" s="44">
        <f t="shared" si="43"/>
        <v>4</v>
      </c>
      <c r="F191" s="44">
        <f t="shared" si="43"/>
        <v>4</v>
      </c>
      <c r="G191" s="44">
        <f t="shared" si="43"/>
        <v>4</v>
      </c>
      <c r="H191" s="44">
        <f t="shared" si="43"/>
        <v>4</v>
      </c>
      <c r="I191" s="44">
        <f t="shared" si="43"/>
        <v>4</v>
      </c>
      <c r="J191" s="44">
        <f t="shared" si="43"/>
        <v>4</v>
      </c>
      <c r="K191" s="44">
        <f t="shared" si="43"/>
        <v>4</v>
      </c>
      <c r="L191" s="44">
        <f t="shared" si="43"/>
        <v>4</v>
      </c>
    </row>
    <row r="192" spans="2:12" outlineLevel="1">
      <c r="B192" s="26" t="s">
        <v>201</v>
      </c>
      <c r="C192" s="26">
        <f>Guidelines!$C$21</f>
        <v>12</v>
      </c>
      <c r="D192" s="44">
        <f t="shared" si="44"/>
        <v>12</v>
      </c>
      <c r="E192" s="44">
        <f t="shared" si="43"/>
        <v>12</v>
      </c>
      <c r="F192" s="44">
        <f t="shared" si="43"/>
        <v>12</v>
      </c>
      <c r="G192" s="44">
        <f t="shared" si="43"/>
        <v>12</v>
      </c>
      <c r="H192" s="44">
        <f t="shared" si="43"/>
        <v>12</v>
      </c>
      <c r="I192" s="44">
        <f t="shared" si="43"/>
        <v>12</v>
      </c>
      <c r="J192" s="44">
        <f t="shared" si="43"/>
        <v>12</v>
      </c>
      <c r="K192" s="44">
        <f t="shared" si="43"/>
        <v>12</v>
      </c>
      <c r="L192" s="44">
        <f t="shared" si="43"/>
        <v>12</v>
      </c>
    </row>
    <row r="193" spans="2:12" outlineLevel="1">
      <c r="B193" s="26" t="s">
        <v>202</v>
      </c>
      <c r="C193" s="26">
        <f>Guidelines!$C$22</f>
        <v>4</v>
      </c>
      <c r="D193" s="44">
        <f t="shared" si="44"/>
        <v>4</v>
      </c>
      <c r="E193" s="44">
        <f t="shared" si="43"/>
        <v>4</v>
      </c>
      <c r="F193" s="44">
        <f t="shared" si="43"/>
        <v>4</v>
      </c>
      <c r="G193" s="44">
        <f t="shared" si="43"/>
        <v>4</v>
      </c>
      <c r="H193" s="44">
        <f t="shared" si="43"/>
        <v>4</v>
      </c>
      <c r="I193" s="44">
        <f t="shared" si="43"/>
        <v>4</v>
      </c>
      <c r="J193" s="44">
        <f t="shared" si="43"/>
        <v>4</v>
      </c>
      <c r="K193" s="44">
        <f t="shared" si="43"/>
        <v>4</v>
      </c>
      <c r="L193" s="44">
        <f t="shared" si="43"/>
        <v>4</v>
      </c>
    </row>
    <row r="194" spans="2:12" outlineLevel="1">
      <c r="B194" s="26" t="s">
        <v>203</v>
      </c>
      <c r="C194" s="26">
        <f>Guidelines!$C$23</f>
        <v>8</v>
      </c>
      <c r="D194" s="44">
        <f t="shared" si="44"/>
        <v>8</v>
      </c>
      <c r="E194" s="44">
        <f t="shared" si="43"/>
        <v>8</v>
      </c>
      <c r="F194" s="44">
        <f t="shared" si="43"/>
        <v>8</v>
      </c>
      <c r="G194" s="44">
        <f t="shared" si="43"/>
        <v>8</v>
      </c>
      <c r="H194" s="44">
        <f t="shared" si="43"/>
        <v>8</v>
      </c>
      <c r="I194" s="44">
        <f t="shared" si="43"/>
        <v>8</v>
      </c>
      <c r="J194" s="44">
        <f t="shared" si="43"/>
        <v>8</v>
      </c>
      <c r="K194" s="44">
        <f t="shared" si="43"/>
        <v>8</v>
      </c>
      <c r="L194" s="44">
        <f t="shared" si="43"/>
        <v>8</v>
      </c>
    </row>
    <row r="195" spans="2:12" outlineLevel="1">
      <c r="B195" s="26" t="s">
        <v>204</v>
      </c>
      <c r="C195" s="26">
        <f>Guidelines!$C$24</f>
        <v>8</v>
      </c>
      <c r="D195" s="26">
        <f t="shared" si="44"/>
        <v>8</v>
      </c>
      <c r="E195" s="26">
        <f t="shared" si="43"/>
        <v>8</v>
      </c>
      <c r="F195" s="26">
        <f t="shared" si="43"/>
        <v>8</v>
      </c>
      <c r="G195" s="26">
        <f t="shared" si="43"/>
        <v>8</v>
      </c>
      <c r="H195" s="26">
        <f t="shared" si="43"/>
        <v>8</v>
      </c>
      <c r="I195" s="26">
        <f t="shared" si="43"/>
        <v>8</v>
      </c>
      <c r="J195" s="26">
        <f t="shared" si="43"/>
        <v>8</v>
      </c>
      <c r="K195" s="26">
        <f t="shared" si="43"/>
        <v>8</v>
      </c>
      <c r="L195" s="26">
        <f t="shared" si="43"/>
        <v>8</v>
      </c>
    </row>
    <row r="196" spans="2:12" outlineLevel="1">
      <c r="B196" s="26" t="s">
        <v>205</v>
      </c>
      <c r="C196" s="26">
        <f>Guidelines!$C$25</f>
        <v>16</v>
      </c>
      <c r="D196" s="26">
        <f t="shared" si="44"/>
        <v>16</v>
      </c>
      <c r="E196" s="26">
        <f t="shared" si="43"/>
        <v>16</v>
      </c>
      <c r="F196" s="26">
        <f t="shared" si="43"/>
        <v>16</v>
      </c>
      <c r="G196" s="26">
        <f t="shared" si="43"/>
        <v>16</v>
      </c>
      <c r="H196" s="26">
        <f t="shared" si="43"/>
        <v>16</v>
      </c>
      <c r="I196" s="26">
        <f t="shared" si="43"/>
        <v>16</v>
      </c>
      <c r="J196" s="26">
        <f t="shared" si="43"/>
        <v>16</v>
      </c>
      <c r="K196" s="26">
        <f t="shared" si="43"/>
        <v>16</v>
      </c>
      <c r="L196" s="26">
        <f t="shared" si="43"/>
        <v>16</v>
      </c>
    </row>
    <row r="197" spans="2:12" outlineLevel="1">
      <c r="B197" s="26" t="s">
        <v>215</v>
      </c>
      <c r="C197" s="26"/>
      <c r="D197" s="26">
        <f>Input_Data!C44</f>
        <v>2224</v>
      </c>
      <c r="E197" s="26">
        <f>Input_Data!D44</f>
        <v>2224</v>
      </c>
      <c r="F197" s="26">
        <f>Input_Data!E44</f>
        <v>2224</v>
      </c>
      <c r="G197" s="26">
        <f>Input_Data!F44</f>
        <v>2224</v>
      </c>
      <c r="H197" s="26">
        <f>Input_Data!G44</f>
        <v>2224</v>
      </c>
      <c r="I197" s="26">
        <f>Input_Data!H44</f>
        <v>2224</v>
      </c>
      <c r="J197" s="26">
        <f>Input_Data!I44</f>
        <v>2224</v>
      </c>
      <c r="K197" s="26">
        <f>Input_Data!J44</f>
        <v>2224</v>
      </c>
      <c r="L197" s="26">
        <f>Input_Data!K44</f>
        <v>0</v>
      </c>
    </row>
    <row r="198" spans="2:12" outlineLevel="1">
      <c r="B198" s="26" t="s">
        <v>216</v>
      </c>
      <c r="C198" s="26"/>
      <c r="D198" s="26">
        <f>IF(Input_Data!C44&gt;'Master Sheet'!D186,SUM(D188:D191,D193:D194),SUM(D188:D191,D193))</f>
        <v>67</v>
      </c>
      <c r="E198" s="26">
        <f>IF(Input_Data!D44&gt;'Master Sheet'!E186,SUM(E188:E191,E193:E194),SUM(E188:E191,E193))</f>
        <v>67</v>
      </c>
      <c r="F198" s="26">
        <f>IF(Input_Data!E44&gt;'Master Sheet'!F186,SUM(F188:F191,F193:F194),SUM(F188:F191,F193))</f>
        <v>67</v>
      </c>
      <c r="G198" s="26">
        <f>IF(Input_Data!F44&gt;'Master Sheet'!G186,SUM(G188:G191,G193:G194),SUM(G188:G191,G193))</f>
        <v>67</v>
      </c>
      <c r="H198" s="26">
        <f>IF(Input_Data!G44&gt;'Master Sheet'!H186,SUM(H188:H191,H193:H194),SUM(H188:H191,H193))</f>
        <v>67</v>
      </c>
      <c r="I198" s="26">
        <f>IF(Input_Data!H44&gt;'Master Sheet'!I186,SUM(I188:I191,I193:I194),SUM(I188:I191,I193))</f>
        <v>67</v>
      </c>
      <c r="J198" s="26">
        <f>IF(Input_Data!I44&gt;'Master Sheet'!J186,SUM(J188:J191,J193:J194),SUM(J188:J191,J193))</f>
        <v>67</v>
      </c>
      <c r="K198" s="26">
        <f>IF(Input_Data!J44&gt;'Master Sheet'!K186,SUM(K188:K191,K193:K194),SUM(K188:K191,K193))</f>
        <v>67</v>
      </c>
      <c r="L198" s="26" t="e">
        <f>IF(Input_Data!K44&gt;'Master Sheet'!L186,SUM(L188:L191,L193:L194),SUM(L188:L191,L193))</f>
        <v>#DIV/0!</v>
      </c>
    </row>
    <row r="199" spans="2:12" outlineLevel="1">
      <c r="B199" s="26" t="s">
        <v>217</v>
      </c>
      <c r="C199" s="26"/>
      <c r="D199" s="26">
        <f>IF(Input_Data!C44&gt;'Master Sheet'!D186,SUM(D188:D191,D193:D194,D192),SUM(D188:D191,D193,D192))</f>
        <v>79</v>
      </c>
      <c r="E199" s="26">
        <f>IF(Input_Data!D44&gt;'Master Sheet'!E186,SUM(E188:E191,E193:E194,E192),SUM(E188:E191,E193,E192))</f>
        <v>79</v>
      </c>
      <c r="F199" s="26">
        <f>IF(Input_Data!E44&gt;'Master Sheet'!F186,SUM(F188:F191,F193:F194,F192),SUM(F188:F191,F193,F192))</f>
        <v>79</v>
      </c>
      <c r="G199" s="26">
        <f>IF(Input_Data!F44&gt;'Master Sheet'!G186,SUM(G188:G191,G193:G194,G192),SUM(G188:G191,G193,G192))</f>
        <v>79</v>
      </c>
      <c r="H199" s="26">
        <f>IF(Input_Data!G44&gt;'Master Sheet'!H186,SUM(H188:H191,H193:H194,H192),SUM(H188:H191,H193,H192))</f>
        <v>79</v>
      </c>
      <c r="I199" s="26">
        <f>IF(Input_Data!H44&gt;'Master Sheet'!I186,SUM(I188:I191,I193:I194,I192),SUM(I188:I191,I193,I192))</f>
        <v>79</v>
      </c>
      <c r="J199" s="26">
        <f>IF(Input_Data!I44&gt;'Master Sheet'!J186,SUM(J188:J191,J193:J194,J192),SUM(J188:J191,J193,J192))</f>
        <v>79</v>
      </c>
      <c r="K199" s="26">
        <f>IF(Input_Data!J44&gt;'Master Sheet'!K186,SUM(K188:K191,K193:K194,K192),SUM(K188:K191,K193,K192))</f>
        <v>79</v>
      </c>
      <c r="L199" s="26" t="e">
        <f>IF(Input_Data!K44&gt;'Master Sheet'!L186,SUM(L188:L191,L193:L194,L192),SUM(L188:L191,L193,L192))</f>
        <v>#DIV/0!</v>
      </c>
    </row>
    <row r="200" spans="2:12" outlineLevel="1">
      <c r="B200" s="26" t="s">
        <v>210</v>
      </c>
      <c r="C200" s="27">
        <f>Guidelines!$C$26</f>
        <v>0.9</v>
      </c>
      <c r="D200" s="46">
        <f>$C200</f>
        <v>0.9</v>
      </c>
      <c r="E200" s="46">
        <f t="shared" si="43"/>
        <v>0.9</v>
      </c>
      <c r="F200" s="46">
        <f t="shared" si="43"/>
        <v>0.9</v>
      </c>
      <c r="G200" s="46">
        <f t="shared" si="43"/>
        <v>0.9</v>
      </c>
      <c r="H200" s="46">
        <f t="shared" si="43"/>
        <v>0.9</v>
      </c>
      <c r="I200" s="46">
        <f t="shared" si="43"/>
        <v>0.9</v>
      </c>
      <c r="J200" s="46">
        <f t="shared" si="43"/>
        <v>0.9</v>
      </c>
      <c r="K200" s="46">
        <f t="shared" si="43"/>
        <v>0.9</v>
      </c>
      <c r="L200" s="46">
        <f t="shared" si="43"/>
        <v>0.9</v>
      </c>
    </row>
    <row r="201" spans="2:12" outlineLevel="1">
      <c r="B201" s="26" t="s">
        <v>211</v>
      </c>
      <c r="C201" s="27"/>
      <c r="D201" s="26">
        <f>ROUNDDOWN(30*24/D198*D200,0)</f>
        <v>9</v>
      </c>
      <c r="E201" s="26">
        <f t="shared" ref="E201:J201" si="45">ROUNDDOWN(30*24/E198*E200,0)</f>
        <v>9</v>
      </c>
      <c r="F201" s="26">
        <f t="shared" si="45"/>
        <v>9</v>
      </c>
      <c r="G201" s="26">
        <f t="shared" si="45"/>
        <v>9</v>
      </c>
      <c r="H201" s="26">
        <f t="shared" si="45"/>
        <v>9</v>
      </c>
      <c r="I201" s="26">
        <f t="shared" si="45"/>
        <v>9</v>
      </c>
      <c r="J201" s="26">
        <f t="shared" si="45"/>
        <v>9</v>
      </c>
      <c r="K201" s="26">
        <f>ROUNDDOWN(30*24/K198*K200,0)</f>
        <v>9</v>
      </c>
      <c r="L201" s="26" t="e">
        <f>ROUNDDOWN(30*24/L198*L200,0)</f>
        <v>#DIV/0!</v>
      </c>
    </row>
    <row r="202" spans="2:12" outlineLevel="1">
      <c r="B202" s="26" t="s">
        <v>213</v>
      </c>
      <c r="C202" s="26"/>
      <c r="D202" s="26">
        <f>ROUNDDOWN(30*24/D199*D200,0)</f>
        <v>8</v>
      </c>
      <c r="E202" s="26">
        <f t="shared" ref="E202:J202" si="46">ROUNDDOWN(30*24/E199*E200,0)</f>
        <v>8</v>
      </c>
      <c r="F202" s="26">
        <f t="shared" si="46"/>
        <v>8</v>
      </c>
      <c r="G202" s="26">
        <f t="shared" si="46"/>
        <v>8</v>
      </c>
      <c r="H202" s="26">
        <f t="shared" si="46"/>
        <v>8</v>
      </c>
      <c r="I202" s="26">
        <f t="shared" si="46"/>
        <v>8</v>
      </c>
      <c r="J202" s="26">
        <f t="shared" si="46"/>
        <v>8</v>
      </c>
      <c r="K202" s="26">
        <f>ROUNDDOWN(30*24/K199*K200,0)</f>
        <v>8</v>
      </c>
      <c r="L202" s="26" t="e">
        <f>ROUNDDOWN(30*24/L199*L200,0)</f>
        <v>#DIV/0!</v>
      </c>
    </row>
  </sheetData>
  <mergeCells count="10">
    <mergeCell ref="A2:L2"/>
    <mergeCell ref="B4:L4"/>
    <mergeCell ref="B14:L14"/>
    <mergeCell ref="B22:L22"/>
    <mergeCell ref="B38:L38"/>
    <mergeCell ref="B171:L171"/>
    <mergeCell ref="B114:L114"/>
    <mergeCell ref="B128:L128"/>
    <mergeCell ref="B180:L180"/>
    <mergeCell ref="B142:L142"/>
  </mergeCells>
  <hyperlinks>
    <hyperlink ref="B1" location="Guidelines!A1" display="Previous" xr:uid="{00000000-0004-0000-0300-000000000000}"/>
    <hyperlink ref="E1" location="'ZBC-Main Page'!A1" display="Main-Page" xr:uid="{00000000-0004-0000-0300-000001000000}"/>
  </hyperlink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8"/>
  <sheetViews>
    <sheetView showGridLines="0" zoomScale="80" zoomScaleNormal="80" workbookViewId="0"/>
  </sheetViews>
  <sheetFormatPr defaultColWidth="8.80859375" defaultRowHeight="12.7" outlineLevelRow="1"/>
  <cols>
    <col min="1" max="1" width="1.09375" style="1" customWidth="1"/>
    <col min="2" max="2" width="32.6171875" style="1" customWidth="1"/>
    <col min="3" max="12" width="10.6171875" style="1" customWidth="1"/>
    <col min="13" max="16384" width="8.80859375" style="1"/>
  </cols>
  <sheetData>
    <row r="1" spans="1:12">
      <c r="B1" s="2" t="s">
        <v>222</v>
      </c>
      <c r="E1" s="3" t="s">
        <v>256</v>
      </c>
    </row>
    <row r="2" spans="1:12" ht="29">
      <c r="A2" s="58" t="s">
        <v>788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4" spans="1:12" ht="15.35">
      <c r="B4" s="64" t="s">
        <v>185</v>
      </c>
      <c r="C4" s="64"/>
      <c r="D4" s="64"/>
      <c r="E4" s="64"/>
      <c r="F4" s="64"/>
      <c r="G4" s="64"/>
      <c r="H4" s="64"/>
      <c r="I4" s="64"/>
      <c r="J4" s="64"/>
      <c r="K4" s="64"/>
      <c r="L4" s="64"/>
    </row>
    <row r="5" spans="1:12">
      <c r="B5" s="38" t="s">
        <v>10</v>
      </c>
      <c r="C5" s="38" t="s">
        <v>42</v>
      </c>
      <c r="D5" s="25" t="s">
        <v>780</v>
      </c>
      <c r="E5" s="25" t="s">
        <v>781</v>
      </c>
      <c r="F5" s="25" t="s">
        <v>773</v>
      </c>
      <c r="G5" s="25" t="s">
        <v>777</v>
      </c>
      <c r="H5" s="25" t="s">
        <v>778</v>
      </c>
      <c r="I5" s="25" t="s">
        <v>779</v>
      </c>
      <c r="J5" s="25" t="s">
        <v>774</v>
      </c>
      <c r="K5" s="25" t="s">
        <v>775</v>
      </c>
      <c r="L5" s="25" t="s">
        <v>776</v>
      </c>
    </row>
    <row r="6" spans="1:12">
      <c r="B6" s="26" t="s">
        <v>143</v>
      </c>
      <c r="C6" s="26"/>
      <c r="D6" s="26">
        <f>D12/Input_Data!C40</f>
        <v>3.6581781292109445</v>
      </c>
      <c r="E6" s="45">
        <f>E12/Input_Data!D40</f>
        <v>3.6581781292109445</v>
      </c>
      <c r="F6" s="45">
        <f>F12/Input_Data!E40</f>
        <v>5.9436857053373835</v>
      </c>
      <c r="G6" s="45">
        <f>G12/Input_Data!F40</f>
        <v>6.2303304747853856</v>
      </c>
      <c r="H6" s="45">
        <f>H12/Input_Data!G40</f>
        <v>6.6146537806097259</v>
      </c>
      <c r="I6" s="45">
        <f>I12/Input_Data!H40</f>
        <v>7.1736408473718747</v>
      </c>
      <c r="J6" s="45">
        <f>J12/Input_Data!I40</f>
        <v>9.3367420499125249</v>
      </c>
      <c r="K6" s="45">
        <f>K12/Input_Data!J40</f>
        <v>8.4862765266650388</v>
      </c>
      <c r="L6" s="45" t="e">
        <f>L12/Input_Data!K40</f>
        <v>#DIV/0!</v>
      </c>
    </row>
    <row r="7" spans="1:12" outlineLevel="1">
      <c r="B7" s="26" t="s">
        <v>1</v>
      </c>
      <c r="C7" s="26"/>
      <c r="D7" s="26">
        <f>'Master Sheet'!D11</f>
        <v>50206.65</v>
      </c>
      <c r="E7" s="26">
        <f>'Master Sheet'!E11</f>
        <v>50206.65</v>
      </c>
      <c r="F7" s="26">
        <f>'Master Sheet'!F11</f>
        <v>68930.095000000001</v>
      </c>
      <c r="G7" s="26">
        <f>'Master Sheet'!G11</f>
        <v>73125</v>
      </c>
      <c r="H7" s="26">
        <f>'Master Sheet'!H11</f>
        <v>86562.45</v>
      </c>
      <c r="I7" s="26">
        <f>'Master Sheet'!I11</f>
        <v>104650</v>
      </c>
      <c r="J7" s="26">
        <f>'Master Sheet'!J11</f>
        <v>156000</v>
      </c>
      <c r="K7" s="26">
        <f>'Master Sheet'!K11</f>
        <v>126750</v>
      </c>
      <c r="L7" s="26">
        <f>'Master Sheet'!L11</f>
        <v>0</v>
      </c>
    </row>
    <row r="8" spans="1:12" outlineLevel="1">
      <c r="B8" s="26" t="s">
        <v>3</v>
      </c>
      <c r="C8" s="26"/>
      <c r="D8" s="26">
        <f>'Master Sheet'!D19</f>
        <v>138000</v>
      </c>
      <c r="E8" s="26">
        <f>'Master Sheet'!E19</f>
        <v>138000</v>
      </c>
      <c r="F8" s="26">
        <f>'Master Sheet'!F19</f>
        <v>264000</v>
      </c>
      <c r="G8" s="26">
        <f>'Master Sheet'!G19</f>
        <v>276000</v>
      </c>
      <c r="H8" s="26">
        <f>'Master Sheet'!H19</f>
        <v>276000</v>
      </c>
      <c r="I8" s="26">
        <f>'Master Sheet'!I19</f>
        <v>276000</v>
      </c>
      <c r="J8" s="26">
        <f>'Master Sheet'!J19</f>
        <v>324000</v>
      </c>
      <c r="K8" s="26">
        <f>'Master Sheet'!K19</f>
        <v>324000</v>
      </c>
      <c r="L8" s="26">
        <f>'Master Sheet'!L19</f>
        <v>0</v>
      </c>
    </row>
    <row r="9" spans="1:12" outlineLevel="1">
      <c r="B9" s="26" t="s">
        <v>2</v>
      </c>
      <c r="C9" s="26"/>
      <c r="D9" s="40">
        <f>'Master Sheet'!D25</f>
        <v>15544.751250000001</v>
      </c>
      <c r="E9" s="40">
        <f>'Master Sheet'!E25</f>
        <v>15544.751250000001</v>
      </c>
      <c r="F9" s="40">
        <f>'Master Sheet'!F25</f>
        <v>21341.817875000004</v>
      </c>
      <c r="G9" s="40">
        <f>'Master Sheet'!G25</f>
        <v>22640.625</v>
      </c>
      <c r="H9" s="40">
        <f>'Master Sheet'!H25</f>
        <v>26801.066250000003</v>
      </c>
      <c r="I9" s="40">
        <f>'Master Sheet'!I25</f>
        <v>32401.25</v>
      </c>
      <c r="J9" s="40">
        <f>'Master Sheet'!J25</f>
        <v>48300</v>
      </c>
      <c r="K9" s="40">
        <f>'Master Sheet'!K25</f>
        <v>39243.75</v>
      </c>
      <c r="L9" s="40">
        <f>'Master Sheet'!L25</f>
        <v>0</v>
      </c>
    </row>
    <row r="10" spans="1:12" outlineLevel="1">
      <c r="B10" s="26" t="s">
        <v>4</v>
      </c>
      <c r="C10" s="26"/>
      <c r="D10" s="26">
        <f>Input_Data!C15</f>
        <v>22000</v>
      </c>
      <c r="E10" s="26">
        <f>Input_Data!D15</f>
        <v>22000</v>
      </c>
      <c r="F10" s="26">
        <f>Input_Data!E15</f>
        <v>22000</v>
      </c>
      <c r="G10" s="26">
        <f>Input_Data!F15</f>
        <v>22000</v>
      </c>
      <c r="H10" s="26">
        <f>Input_Data!G15</f>
        <v>22000</v>
      </c>
      <c r="I10" s="26">
        <f>Input_Data!H15</f>
        <v>25000</v>
      </c>
      <c r="J10" s="26">
        <f>Input_Data!I15</f>
        <v>27000</v>
      </c>
      <c r="K10" s="26">
        <f>Input_Data!J15</f>
        <v>26000</v>
      </c>
      <c r="L10" s="26">
        <f>Input_Data!K15</f>
        <v>0</v>
      </c>
    </row>
    <row r="11" spans="1:12" outlineLevel="1">
      <c r="B11" s="26" t="s">
        <v>8</v>
      </c>
      <c r="C11" s="26"/>
      <c r="D11" s="26">
        <f>'Master Sheet'!D44*12</f>
        <v>37637.424053188013</v>
      </c>
      <c r="E11" s="26">
        <f>'Master Sheet'!E44*12</f>
        <v>37637.424053188013</v>
      </c>
      <c r="F11" s="26">
        <f>'Master Sheet'!F44*12</f>
        <v>51673.457909291603</v>
      </c>
      <c r="G11" s="26">
        <f>'Master Sheet'!G44*12</f>
        <v>54818.169184547747</v>
      </c>
      <c r="H11" s="26">
        <f>'Master Sheet'!H44*12</f>
        <v>64891.555953900257</v>
      </c>
      <c r="I11" s="26">
        <f>'Master Sheet'!I44*12</f>
        <v>78450.891010774983</v>
      </c>
      <c r="J11" s="26">
        <f>'Master Sheet'!J44*12</f>
        <v>116945.4275937018</v>
      </c>
      <c r="K11" s="26">
        <f>'Master Sheet'!K44*12</f>
        <v>95018.159919882746</v>
      </c>
      <c r="L11" s="26">
        <f>'Master Sheet'!L44*12</f>
        <v>0</v>
      </c>
    </row>
    <row r="12" spans="1:12" outlineLevel="1">
      <c r="B12" s="26" t="s">
        <v>5</v>
      </c>
      <c r="C12" s="26"/>
      <c r="D12" s="26">
        <f>SUM(D7:D11)</f>
        <v>263388.825303188</v>
      </c>
      <c r="E12" s="26">
        <f t="shared" ref="E12:J12" si="0">SUM(E7:E11)</f>
        <v>263388.825303188</v>
      </c>
      <c r="F12" s="26">
        <f t="shared" si="0"/>
        <v>427945.37078429159</v>
      </c>
      <c r="G12" s="26">
        <f t="shared" si="0"/>
        <v>448583.79418454773</v>
      </c>
      <c r="H12" s="26">
        <f t="shared" si="0"/>
        <v>476255.07220390026</v>
      </c>
      <c r="I12" s="26">
        <f t="shared" si="0"/>
        <v>516502.141010775</v>
      </c>
      <c r="J12" s="26">
        <f t="shared" si="0"/>
        <v>672245.42759370175</v>
      </c>
      <c r="K12" s="26">
        <f>SUM(K7:K11)</f>
        <v>611011.90991988278</v>
      </c>
      <c r="L12" s="26">
        <f>SUM(L7:L11)</f>
        <v>0</v>
      </c>
    </row>
    <row r="13" spans="1:12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</row>
    <row r="14" spans="1:12"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1:12" ht="15.35">
      <c r="B15" s="64" t="s">
        <v>184</v>
      </c>
      <c r="C15" s="64"/>
      <c r="D15" s="64"/>
      <c r="E15" s="64"/>
      <c r="F15" s="64"/>
      <c r="G15" s="64"/>
      <c r="H15" s="64"/>
      <c r="I15" s="64"/>
      <c r="J15" s="64"/>
      <c r="K15" s="64"/>
      <c r="L15" s="64"/>
    </row>
    <row r="16" spans="1:12">
      <c r="B16" s="38" t="s">
        <v>10</v>
      </c>
      <c r="C16" s="38"/>
      <c r="D16" s="25" t="s">
        <v>780</v>
      </c>
      <c r="E16" s="25" t="s">
        <v>781</v>
      </c>
      <c r="F16" s="25" t="s">
        <v>773</v>
      </c>
      <c r="G16" s="25" t="s">
        <v>777</v>
      </c>
      <c r="H16" s="25" t="s">
        <v>778</v>
      </c>
      <c r="I16" s="25" t="s">
        <v>779</v>
      </c>
      <c r="J16" s="25" t="s">
        <v>774</v>
      </c>
      <c r="K16" s="25" t="s">
        <v>775</v>
      </c>
      <c r="L16" s="25" t="s">
        <v>776</v>
      </c>
    </row>
    <row r="17" spans="2:12">
      <c r="B17" s="26" t="s">
        <v>132</v>
      </c>
      <c r="C17" s="27">
        <v>0</v>
      </c>
      <c r="D17" s="43">
        <f>'Master Sheet'!D116</f>
        <v>4.7417272727272728</v>
      </c>
      <c r="E17" s="43">
        <f>'Master Sheet'!E116</f>
        <v>4.7417272727272728</v>
      </c>
      <c r="F17" s="43">
        <f>'Master Sheet'!F116</f>
        <v>5.1535272727272732</v>
      </c>
      <c r="G17" s="43">
        <f>'Master Sheet'!G116</f>
        <v>5.6852222222222224</v>
      </c>
      <c r="H17" s="43">
        <f>'Master Sheet'!H116</f>
        <v>6.027000000000001</v>
      </c>
      <c r="I17" s="43">
        <f>'Master Sheet'!I116</f>
        <v>9.7599333333333327</v>
      </c>
      <c r="J17" s="43">
        <f>'Master Sheet'!J116</f>
        <v>14.236928571428573</v>
      </c>
      <c r="K17" s="43">
        <f>'Master Sheet'!K116</f>
        <v>11.929000000000002</v>
      </c>
      <c r="L17" s="43" t="e">
        <f>'Master Sheet'!L116</f>
        <v>#DIV/0!</v>
      </c>
    </row>
    <row r="18" spans="2:12">
      <c r="B18" s="26" t="s">
        <v>133</v>
      </c>
      <c r="C18" s="27">
        <v>0.3</v>
      </c>
      <c r="D18" s="43">
        <f>'Master Sheet'!D117</f>
        <v>4.674659090909091</v>
      </c>
      <c r="E18" s="43">
        <f>'Master Sheet'!E117</f>
        <v>4.674659090909091</v>
      </c>
      <c r="F18" s="43">
        <f>'Master Sheet'!F117</f>
        <v>5.2340090909090904</v>
      </c>
      <c r="G18" s="43">
        <f>'Master Sheet'!G117</f>
        <v>5.7835888888888896</v>
      </c>
      <c r="H18" s="43">
        <f>'Master Sheet'!H117</f>
        <v>6.2483250000000012</v>
      </c>
      <c r="I18" s="43">
        <f>'Master Sheet'!I117</f>
        <v>10.055033333333334</v>
      </c>
      <c r="J18" s="43">
        <f>'Master Sheet'!J117</f>
        <v>14.553107142857144</v>
      </c>
      <c r="K18" s="43">
        <f>'Master Sheet'!K117</f>
        <v>12.371650000000002</v>
      </c>
      <c r="L18" s="43" t="e">
        <f>'Master Sheet'!L117</f>
        <v>#DIV/0!</v>
      </c>
    </row>
    <row r="19" spans="2:12">
      <c r="B19" s="26" t="s">
        <v>134</v>
      </c>
      <c r="C19" s="27">
        <v>0.4</v>
      </c>
      <c r="D19" s="43">
        <f>'Master Sheet'!D118</f>
        <v>4.6523030303030311</v>
      </c>
      <c r="E19" s="43">
        <f>'Master Sheet'!E118</f>
        <v>4.6523030303030311</v>
      </c>
      <c r="F19" s="43">
        <f>'Master Sheet'!F118</f>
        <v>5.260836363636364</v>
      </c>
      <c r="G19" s="43">
        <f>'Master Sheet'!G118</f>
        <v>5.8163777777777774</v>
      </c>
      <c r="H19" s="43">
        <f>'Master Sheet'!H118</f>
        <v>6.3221000000000007</v>
      </c>
      <c r="I19" s="43">
        <f>'Master Sheet'!I118</f>
        <v>10.153400000000001</v>
      </c>
      <c r="J19" s="43">
        <f>'Master Sheet'!J118</f>
        <v>14.6585</v>
      </c>
      <c r="K19" s="43">
        <f>'Master Sheet'!K118</f>
        <v>12.519200000000001</v>
      </c>
      <c r="L19" s="43" t="e">
        <f>'Master Sheet'!L118</f>
        <v>#DIV/0!</v>
      </c>
    </row>
    <row r="20" spans="2:12">
      <c r="B20" s="26" t="s">
        <v>135</v>
      </c>
      <c r="C20" s="27">
        <v>0.5</v>
      </c>
      <c r="D20" s="43">
        <f>'Master Sheet'!D119</f>
        <v>4.6299469696969702</v>
      </c>
      <c r="E20" s="43">
        <f>'Master Sheet'!E119</f>
        <v>4.6299469696969702</v>
      </c>
      <c r="F20" s="43">
        <f>'Master Sheet'!F119</f>
        <v>5.2876636363636367</v>
      </c>
      <c r="G20" s="43">
        <f>'Master Sheet'!G119</f>
        <v>5.8491666666666671</v>
      </c>
      <c r="H20" s="43">
        <f>'Master Sheet'!H119</f>
        <v>6.3958750000000011</v>
      </c>
      <c r="I20" s="43">
        <f>'Master Sheet'!I119</f>
        <v>10.251766666666668</v>
      </c>
      <c r="J20" s="43">
        <f>'Master Sheet'!J119</f>
        <v>14.763892857142858</v>
      </c>
      <c r="K20" s="43">
        <f>'Master Sheet'!K119</f>
        <v>12.666750000000002</v>
      </c>
      <c r="L20" s="43" t="e">
        <f>'Master Sheet'!L119</f>
        <v>#DIV/0!</v>
      </c>
    </row>
    <row r="21" spans="2:12">
      <c r="B21" s="26" t="s">
        <v>136</v>
      </c>
      <c r="C21" s="27">
        <v>0.6</v>
      </c>
      <c r="D21" s="43">
        <f>'Master Sheet'!D120</f>
        <v>4.6075909090909093</v>
      </c>
      <c r="E21" s="43">
        <f>'Master Sheet'!E120</f>
        <v>4.6075909090909093</v>
      </c>
      <c r="F21" s="43">
        <f>'Master Sheet'!F120</f>
        <v>5.3144909090909103</v>
      </c>
      <c r="G21" s="43">
        <f>'Master Sheet'!G120</f>
        <v>5.8819555555555567</v>
      </c>
      <c r="H21" s="43">
        <f>'Master Sheet'!H120</f>
        <v>6.4696500000000015</v>
      </c>
      <c r="I21" s="43">
        <f>'Master Sheet'!I120</f>
        <v>10.350133333333332</v>
      </c>
      <c r="J21" s="43">
        <f>'Master Sheet'!J120</f>
        <v>14.869285714285716</v>
      </c>
      <c r="K21" s="43">
        <f>'Master Sheet'!K120</f>
        <v>12.814300000000003</v>
      </c>
      <c r="L21" s="43" t="e">
        <f>'Master Sheet'!L120</f>
        <v>#DIV/0!</v>
      </c>
    </row>
    <row r="22" spans="2:12">
      <c r="B22" s="26" t="s">
        <v>137</v>
      </c>
      <c r="C22" s="27">
        <v>0.8</v>
      </c>
      <c r="D22" s="43">
        <f>'Master Sheet'!D121</f>
        <v>4.5628787878787875</v>
      </c>
      <c r="E22" s="43">
        <f>'Master Sheet'!E121</f>
        <v>4.5628787878787875</v>
      </c>
      <c r="F22" s="43">
        <f>'Master Sheet'!F121</f>
        <v>5.3681454545454539</v>
      </c>
      <c r="G22" s="43">
        <f>'Master Sheet'!G121</f>
        <v>5.9475333333333333</v>
      </c>
      <c r="H22" s="43">
        <f>'Master Sheet'!H121</f>
        <v>6.6172000000000013</v>
      </c>
      <c r="I22" s="43">
        <f>'Master Sheet'!I121</f>
        <v>10.546866666666668</v>
      </c>
      <c r="J22" s="43">
        <f>'Master Sheet'!J121</f>
        <v>15.080071428571431</v>
      </c>
      <c r="K22" s="43">
        <f>'Master Sheet'!K121</f>
        <v>13.109400000000003</v>
      </c>
      <c r="L22" s="43" t="e">
        <f>'Master Sheet'!L121</f>
        <v>#DIV/0!</v>
      </c>
    </row>
    <row r="23" spans="2:12">
      <c r="B23" s="26" t="s">
        <v>138</v>
      </c>
      <c r="C23" s="27">
        <v>1</v>
      </c>
      <c r="D23" s="43">
        <f>'Master Sheet'!D122</f>
        <v>4.5181666666666667</v>
      </c>
      <c r="E23" s="43">
        <f>'Master Sheet'!E122</f>
        <v>4.5181666666666667</v>
      </c>
      <c r="F23" s="43">
        <f>'Master Sheet'!F122</f>
        <v>5.4218000000000011</v>
      </c>
      <c r="G23" s="43">
        <f>'Master Sheet'!G122</f>
        <v>6.0131111111111117</v>
      </c>
      <c r="H23" s="43">
        <f>'Master Sheet'!H122</f>
        <v>6.7647500000000012</v>
      </c>
      <c r="I23" s="43">
        <f>'Master Sheet'!I122</f>
        <v>10.743600000000001</v>
      </c>
      <c r="J23" s="43">
        <f>'Master Sheet'!J122</f>
        <v>15.290857142857142</v>
      </c>
      <c r="K23" s="43">
        <f>'Master Sheet'!K122</f>
        <v>13.404500000000002</v>
      </c>
      <c r="L23" s="43" t="e">
        <f>'Master Sheet'!L122</f>
        <v>#DIV/0!</v>
      </c>
    </row>
    <row r="24" spans="2:12"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</row>
    <row r="25" spans="2:12"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</row>
    <row r="26" spans="2:12" ht="15.35">
      <c r="B26" s="64" t="s">
        <v>183</v>
      </c>
      <c r="C26" s="64"/>
      <c r="D26" s="64"/>
      <c r="E26" s="64"/>
      <c r="F26" s="64"/>
      <c r="G26" s="64"/>
      <c r="H26" s="64"/>
      <c r="I26" s="64"/>
      <c r="J26" s="64"/>
      <c r="K26" s="64"/>
      <c r="L26" s="64"/>
    </row>
    <row r="27" spans="2:12">
      <c r="B27" s="38" t="s">
        <v>10</v>
      </c>
      <c r="C27" s="38" t="s">
        <v>42</v>
      </c>
      <c r="D27" s="25" t="s">
        <v>780</v>
      </c>
      <c r="E27" s="25" t="s">
        <v>781</v>
      </c>
      <c r="F27" s="25" t="s">
        <v>773</v>
      </c>
      <c r="G27" s="25" t="s">
        <v>777</v>
      </c>
      <c r="H27" s="25" t="s">
        <v>778</v>
      </c>
      <c r="I27" s="25" t="s">
        <v>779</v>
      </c>
      <c r="J27" s="25" t="s">
        <v>774</v>
      </c>
      <c r="K27" s="25" t="s">
        <v>775</v>
      </c>
      <c r="L27" s="25" t="s">
        <v>776</v>
      </c>
    </row>
    <row r="28" spans="2:12">
      <c r="B28" s="26" t="s">
        <v>153</v>
      </c>
      <c r="C28" s="27"/>
      <c r="D28" s="43">
        <f>'Master Sheet'!D130</f>
        <v>1.2250000000000001</v>
      </c>
      <c r="E28" s="43">
        <f>'Master Sheet'!E130</f>
        <v>1.2250000000000001</v>
      </c>
      <c r="F28" s="43">
        <f>'Master Sheet'!F130</f>
        <v>1.2250000000000001</v>
      </c>
      <c r="G28" s="43">
        <f>'Master Sheet'!G130</f>
        <v>1.3999999999999997</v>
      </c>
      <c r="H28" s="43">
        <f>'Master Sheet'!H130</f>
        <v>2.0999999999999996</v>
      </c>
      <c r="I28" s="43">
        <f>'Master Sheet'!I130</f>
        <v>2.6250000000000004</v>
      </c>
      <c r="J28" s="43">
        <f>'Master Sheet'!J130</f>
        <v>4.083333333333333</v>
      </c>
      <c r="K28" s="43">
        <f>'Master Sheet'!K130</f>
        <v>4.8999999999999995</v>
      </c>
      <c r="L28" s="43" t="e">
        <f>'Master Sheet'!L130</f>
        <v>#DIV/0!</v>
      </c>
    </row>
    <row r="29" spans="2:12"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</row>
    <row r="30" spans="2:12"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</row>
    <row r="31" spans="2:12" ht="15.35">
      <c r="B31" s="64" t="s">
        <v>182</v>
      </c>
      <c r="C31" s="64"/>
      <c r="D31" s="64"/>
      <c r="E31" s="64"/>
      <c r="F31" s="64"/>
      <c r="G31" s="64"/>
      <c r="H31" s="64"/>
      <c r="I31" s="64"/>
      <c r="J31" s="64"/>
      <c r="K31" s="64"/>
      <c r="L31" s="64"/>
    </row>
    <row r="32" spans="2:12">
      <c r="B32" s="38" t="s">
        <v>10</v>
      </c>
      <c r="C32" s="38" t="s">
        <v>42</v>
      </c>
      <c r="D32" s="25" t="s">
        <v>780</v>
      </c>
      <c r="E32" s="25" t="s">
        <v>781</v>
      </c>
      <c r="F32" s="25" t="s">
        <v>773</v>
      </c>
      <c r="G32" s="25" t="s">
        <v>777</v>
      </c>
      <c r="H32" s="25" t="s">
        <v>778</v>
      </c>
      <c r="I32" s="25" t="s">
        <v>779</v>
      </c>
      <c r="J32" s="25" t="s">
        <v>774</v>
      </c>
      <c r="K32" s="25" t="s">
        <v>775</v>
      </c>
      <c r="L32" s="25" t="s">
        <v>776</v>
      </c>
    </row>
    <row r="33" spans="2:12">
      <c r="B33" s="28" t="s">
        <v>175</v>
      </c>
      <c r="C33" s="42"/>
      <c r="D33" s="43">
        <f>SUM(D34:D41)</f>
        <v>0.39088124999999996</v>
      </c>
      <c r="E33" s="43">
        <f t="shared" ref="E33:L33" si="1">SUM(E34:E41)</f>
        <v>0.39088124999999996</v>
      </c>
      <c r="F33" s="43">
        <f t="shared" si="1"/>
        <v>0.40393124999999996</v>
      </c>
      <c r="G33" s="43">
        <f t="shared" si="1"/>
        <v>0.42856428571428573</v>
      </c>
      <c r="H33" s="43">
        <f t="shared" si="1"/>
        <v>0.42856428571428573</v>
      </c>
      <c r="I33" s="43">
        <f t="shared" si="1"/>
        <v>0.43938571428571427</v>
      </c>
      <c r="J33" s="43">
        <f t="shared" si="1"/>
        <v>0.66575238095238098</v>
      </c>
      <c r="K33" s="43">
        <f t="shared" si="1"/>
        <v>0</v>
      </c>
      <c r="L33" s="43">
        <f t="shared" si="1"/>
        <v>0</v>
      </c>
    </row>
    <row r="34" spans="2:12" hidden="1" outlineLevel="1">
      <c r="B34" s="26" t="str">
        <f>'Master Sheet'!B144</f>
        <v>Engine Oil Cost per Km</v>
      </c>
      <c r="C34" s="26"/>
      <c r="D34" s="43">
        <f>'Master Sheet'!D144</f>
        <v>7.8375E-2</v>
      </c>
      <c r="E34" s="43">
        <f>'Master Sheet'!E144</f>
        <v>7.8375E-2</v>
      </c>
      <c r="F34" s="43">
        <f>'Master Sheet'!F144</f>
        <v>7.8375E-2</v>
      </c>
      <c r="G34" s="43">
        <f>'Master Sheet'!G144</f>
        <v>8.9571428571428566E-2</v>
      </c>
      <c r="H34" s="43">
        <f>'Master Sheet'!H144</f>
        <v>8.9571428571428566E-2</v>
      </c>
      <c r="I34" s="43">
        <f>'Master Sheet'!I144</f>
        <v>8.9571428571428566E-2</v>
      </c>
      <c r="J34" s="43">
        <f>'Master Sheet'!J144</f>
        <v>0.12214285714285714</v>
      </c>
      <c r="K34" s="43"/>
      <c r="L34" s="43"/>
    </row>
    <row r="35" spans="2:12" hidden="1" outlineLevel="1">
      <c r="B35" s="28" t="str">
        <f>'Master Sheet'!B148</f>
        <v>Gearbox Oil Cost per Km</v>
      </c>
      <c r="C35" s="28"/>
      <c r="D35" s="43">
        <f>'Master Sheet'!D148</f>
        <v>1.3275E-2</v>
      </c>
      <c r="E35" s="43">
        <f>'Master Sheet'!E148</f>
        <v>1.3275E-2</v>
      </c>
      <c r="F35" s="43">
        <f>'Master Sheet'!F148</f>
        <v>1.3275E-2</v>
      </c>
      <c r="G35" s="43">
        <f>'Master Sheet'!G148</f>
        <v>1.9666666666666666E-2</v>
      </c>
      <c r="H35" s="43">
        <f>'Master Sheet'!H148</f>
        <v>1.9666666666666666E-2</v>
      </c>
      <c r="I35" s="43">
        <f>'Master Sheet'!I148</f>
        <v>1.9666666666666666E-2</v>
      </c>
      <c r="J35" s="43">
        <f>'Master Sheet'!J148</f>
        <v>2.7533333333333333E-2</v>
      </c>
      <c r="K35" s="43"/>
      <c r="L35" s="43"/>
    </row>
    <row r="36" spans="2:12" hidden="1" outlineLevel="1">
      <c r="B36" s="28" t="str">
        <f>'Master Sheet'!B152</f>
        <v>Axle (crown) Oil Cost per Km</v>
      </c>
      <c r="C36" s="28"/>
      <c r="D36" s="43">
        <f>'Master Sheet'!D152</f>
        <v>1.603125E-2</v>
      </c>
      <c r="E36" s="43">
        <f>'Master Sheet'!E152</f>
        <v>1.603125E-2</v>
      </c>
      <c r="F36" s="43">
        <f>'Master Sheet'!F152</f>
        <v>1.603125E-2</v>
      </c>
      <c r="G36" s="43">
        <f>'Master Sheet'!G152</f>
        <v>1.7100000000000001E-2</v>
      </c>
      <c r="H36" s="43">
        <f>'Master Sheet'!H152</f>
        <v>1.7100000000000001E-2</v>
      </c>
      <c r="I36" s="43">
        <f>'Master Sheet'!I152</f>
        <v>1.7100000000000001E-2</v>
      </c>
      <c r="J36" s="43">
        <f>'Master Sheet'!J152</f>
        <v>4.5600000000000002E-2</v>
      </c>
      <c r="K36" s="43"/>
      <c r="L36" s="43"/>
    </row>
    <row r="37" spans="2:12" hidden="1" outlineLevel="1">
      <c r="B37" s="28" t="str">
        <f>'Master Sheet'!B156</f>
        <v>Coolant Cost per Km</v>
      </c>
      <c r="C37" s="28"/>
      <c r="D37" s="43">
        <f>'Master Sheet'!D156</f>
        <v>5.0000000000000001E-3</v>
      </c>
      <c r="E37" s="43">
        <f>'Master Sheet'!E156</f>
        <v>5.0000000000000001E-3</v>
      </c>
      <c r="F37" s="43">
        <f>'Master Sheet'!F156</f>
        <v>1.2500000000000001E-2</v>
      </c>
      <c r="G37" s="43">
        <f>'Master Sheet'!G156</f>
        <v>1.3333333333333334E-2</v>
      </c>
      <c r="H37" s="43">
        <f>'Master Sheet'!H156</f>
        <v>1.3333333333333334E-2</v>
      </c>
      <c r="I37" s="43">
        <f>'Master Sheet'!I156</f>
        <v>1.3333333333333334E-2</v>
      </c>
      <c r="J37" s="43">
        <f>'Master Sheet'!J156</f>
        <v>1.3333333333333334E-2</v>
      </c>
      <c r="K37" s="43"/>
      <c r="L37" s="43"/>
    </row>
    <row r="38" spans="2:12" hidden="1" outlineLevel="1">
      <c r="B38" s="26" t="str">
        <f>'Master Sheet'!B160</f>
        <v>Fuel filter Cost per Km</v>
      </c>
      <c r="C38" s="26"/>
      <c r="D38" s="43">
        <f>'Master Sheet'!D160</f>
        <v>3.5999999999999997E-2</v>
      </c>
      <c r="E38" s="43">
        <f>'Master Sheet'!E160</f>
        <v>3.5999999999999997E-2</v>
      </c>
      <c r="F38" s="43">
        <f>'Master Sheet'!F160</f>
        <v>3.5999999999999997E-2</v>
      </c>
      <c r="G38" s="43">
        <f>'Master Sheet'!G160</f>
        <v>4.1142857142857141E-2</v>
      </c>
      <c r="H38" s="43">
        <f>'Master Sheet'!H160</f>
        <v>4.1142857142857141E-2</v>
      </c>
      <c r="I38" s="43">
        <f>'Master Sheet'!I160</f>
        <v>4.8000000000000001E-2</v>
      </c>
      <c r="J38" s="43">
        <f>'Master Sheet'!J160</f>
        <v>8.5714285714285715E-2</v>
      </c>
      <c r="K38" s="43"/>
      <c r="L38" s="43"/>
    </row>
    <row r="39" spans="2:12" hidden="1" outlineLevel="1">
      <c r="B39" s="26" t="str">
        <f>'Master Sheet'!B163</f>
        <v>Air filter Cost per Km</v>
      </c>
      <c r="C39" s="26"/>
      <c r="D39" s="43">
        <f>'Master Sheet'!D163</f>
        <v>2.2200000000000001E-2</v>
      </c>
      <c r="E39" s="43">
        <f>'Master Sheet'!E163</f>
        <v>2.2200000000000001E-2</v>
      </c>
      <c r="F39" s="43">
        <f>'Master Sheet'!F163</f>
        <v>2.775E-2</v>
      </c>
      <c r="G39" s="43">
        <f>'Master Sheet'!G163</f>
        <v>2.775E-2</v>
      </c>
      <c r="H39" s="43">
        <f>'Master Sheet'!H163</f>
        <v>2.775E-2</v>
      </c>
      <c r="I39" s="43">
        <f>'Master Sheet'!I163</f>
        <v>3.1714285714285716E-2</v>
      </c>
      <c r="J39" s="43">
        <f>'Master Sheet'!J163</f>
        <v>3.1428571428571431E-2</v>
      </c>
      <c r="K39" s="43"/>
      <c r="L39" s="43"/>
    </row>
    <row r="40" spans="2:12" hidden="1" outlineLevel="1">
      <c r="B40" s="26" t="s">
        <v>179</v>
      </c>
      <c r="C40" s="26"/>
      <c r="D40" s="43">
        <f>'Master Sheet'!D166</f>
        <v>0.12</v>
      </c>
      <c r="E40" s="43">
        <f>'Master Sheet'!E166</f>
        <v>0.12</v>
      </c>
      <c r="F40" s="43">
        <f>'Master Sheet'!F166</f>
        <v>0.12</v>
      </c>
      <c r="G40" s="43">
        <f>'Master Sheet'!G166</f>
        <v>0.12</v>
      </c>
      <c r="H40" s="43">
        <f>'Master Sheet'!H166</f>
        <v>0.12</v>
      </c>
      <c r="I40" s="43">
        <f>'Master Sheet'!I166</f>
        <v>0.12</v>
      </c>
      <c r="J40" s="43">
        <f>'Master Sheet'!J166</f>
        <v>0.24</v>
      </c>
      <c r="K40" s="43"/>
      <c r="L40" s="43"/>
    </row>
    <row r="41" spans="2:12" hidden="1" outlineLevel="1">
      <c r="B41" s="26" t="s">
        <v>176</v>
      </c>
      <c r="C41" s="45">
        <v>0.1</v>
      </c>
      <c r="D41" s="43">
        <f>$C41</f>
        <v>0.1</v>
      </c>
      <c r="E41" s="43">
        <f t="shared" ref="E41:J41" si="2">$C41</f>
        <v>0.1</v>
      </c>
      <c r="F41" s="43">
        <f t="shared" si="2"/>
        <v>0.1</v>
      </c>
      <c r="G41" s="43">
        <f t="shared" si="2"/>
        <v>0.1</v>
      </c>
      <c r="H41" s="43">
        <f t="shared" si="2"/>
        <v>0.1</v>
      </c>
      <c r="I41" s="43">
        <f t="shared" si="2"/>
        <v>0.1</v>
      </c>
      <c r="J41" s="43">
        <f t="shared" si="2"/>
        <v>0.1</v>
      </c>
      <c r="K41" s="43"/>
      <c r="L41" s="43"/>
    </row>
    <row r="42" spans="2:12" collapsed="1"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</row>
    <row r="43" spans="2:12"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</row>
    <row r="44" spans="2:12" ht="15.35">
      <c r="B44" s="64" t="s">
        <v>186</v>
      </c>
      <c r="C44" s="64"/>
      <c r="D44" s="64"/>
      <c r="E44" s="64"/>
      <c r="F44" s="64"/>
      <c r="G44" s="64"/>
      <c r="H44" s="64"/>
      <c r="I44" s="64"/>
      <c r="J44" s="64"/>
      <c r="K44" s="64"/>
      <c r="L44" s="64"/>
    </row>
    <row r="45" spans="2:12">
      <c r="B45" s="38" t="s">
        <v>10</v>
      </c>
      <c r="C45" s="38" t="s">
        <v>42</v>
      </c>
      <c r="D45" s="25" t="s">
        <v>780</v>
      </c>
      <c r="E45" s="25" t="s">
        <v>781</v>
      </c>
      <c r="F45" s="25" t="s">
        <v>773</v>
      </c>
      <c r="G45" s="25" t="s">
        <v>777</v>
      </c>
      <c r="H45" s="25" t="s">
        <v>778</v>
      </c>
      <c r="I45" s="25" t="s">
        <v>779</v>
      </c>
      <c r="J45" s="25" t="s">
        <v>774</v>
      </c>
      <c r="K45" s="25" t="s">
        <v>775</v>
      </c>
      <c r="L45" s="25" t="s">
        <v>776</v>
      </c>
    </row>
    <row r="46" spans="2:12">
      <c r="B46" s="28" t="s">
        <v>187</v>
      </c>
      <c r="C46" s="29">
        <f>Guidelines!$C$27</f>
        <v>7.0000000000000007E-2</v>
      </c>
      <c r="D46" s="43">
        <f t="shared" ref="D46:L46" si="3">$C46*(D6+D17+D28+D33)</f>
        <v>0.70110506563567521</v>
      </c>
      <c r="E46" s="43">
        <f t="shared" si="3"/>
        <v>0.70110506563567521</v>
      </c>
      <c r="F46" s="43">
        <f t="shared" si="3"/>
        <v>0.890830095964526</v>
      </c>
      <c r="G46" s="43">
        <f t="shared" si="3"/>
        <v>0.96208818879053271</v>
      </c>
      <c r="H46" s="43">
        <f t="shared" si="3"/>
        <v>1.0619152646426808</v>
      </c>
      <c r="I46" s="43">
        <f t="shared" si="3"/>
        <v>1.3998571926493646</v>
      </c>
      <c r="J46" s="43">
        <f t="shared" si="3"/>
        <v>1.9825929434938769</v>
      </c>
      <c r="K46" s="43">
        <f t="shared" si="3"/>
        <v>1.7720693568665529</v>
      </c>
      <c r="L46" s="43" t="e">
        <f t="shared" si="3"/>
        <v>#DIV/0!</v>
      </c>
    </row>
    <row r="47" spans="2:12"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</row>
    <row r="48" spans="2:12"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</row>
    <row r="49" spans="2:12" ht="15.35">
      <c r="B49" s="64" t="s">
        <v>188</v>
      </c>
      <c r="C49" s="64"/>
      <c r="D49" s="64"/>
      <c r="E49" s="64"/>
      <c r="F49" s="64"/>
      <c r="G49" s="64"/>
      <c r="H49" s="64"/>
      <c r="I49" s="64"/>
      <c r="J49" s="64"/>
      <c r="K49" s="64"/>
      <c r="L49" s="64"/>
    </row>
    <row r="50" spans="2:12">
      <c r="B50" s="38" t="s">
        <v>10</v>
      </c>
      <c r="C50" s="38" t="s">
        <v>42</v>
      </c>
      <c r="D50" s="25" t="s">
        <v>780</v>
      </c>
      <c r="E50" s="25" t="s">
        <v>781</v>
      </c>
      <c r="F50" s="25" t="s">
        <v>773</v>
      </c>
      <c r="G50" s="25" t="s">
        <v>777</v>
      </c>
      <c r="H50" s="25" t="s">
        <v>778</v>
      </c>
      <c r="I50" s="25" t="s">
        <v>779</v>
      </c>
      <c r="J50" s="25" t="s">
        <v>774</v>
      </c>
      <c r="K50" s="25" t="s">
        <v>775</v>
      </c>
      <c r="L50" s="25" t="s">
        <v>776</v>
      </c>
    </row>
    <row r="51" spans="2:12">
      <c r="B51" s="28" t="s">
        <v>263</v>
      </c>
      <c r="C51" s="29">
        <f>Guidelines!$C$28</f>
        <v>0.1</v>
      </c>
      <c r="D51" s="43">
        <f t="shared" ref="D51:L51" si="4">$C51*(D6+D17+D28+D33)</f>
        <v>1.0015786651938217</v>
      </c>
      <c r="E51" s="43">
        <f t="shared" si="4"/>
        <v>1.0015786651938217</v>
      </c>
      <c r="F51" s="43">
        <f t="shared" si="4"/>
        <v>1.2726144228064658</v>
      </c>
      <c r="G51" s="43">
        <f t="shared" si="4"/>
        <v>1.3744116982721897</v>
      </c>
      <c r="H51" s="43">
        <f t="shared" si="4"/>
        <v>1.5170218066324013</v>
      </c>
      <c r="I51" s="43">
        <f t="shared" si="4"/>
        <v>1.9997959894990922</v>
      </c>
      <c r="J51" s="43">
        <f t="shared" si="4"/>
        <v>2.8322756335626811</v>
      </c>
      <c r="K51" s="43">
        <f t="shared" si="4"/>
        <v>2.531527652666504</v>
      </c>
      <c r="L51" s="43" t="e">
        <f t="shared" si="4"/>
        <v>#DIV/0!</v>
      </c>
    </row>
    <row r="52" spans="2:12"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</row>
    <row r="53" spans="2:12"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</row>
    <row r="54" spans="2:12" ht="15.35">
      <c r="B54" s="64" t="s">
        <v>189</v>
      </c>
      <c r="C54" s="64"/>
      <c r="D54" s="64"/>
      <c r="E54" s="64"/>
      <c r="F54" s="64"/>
      <c r="G54" s="64"/>
      <c r="H54" s="64"/>
      <c r="I54" s="64"/>
      <c r="J54" s="64"/>
      <c r="K54" s="64"/>
      <c r="L54" s="64"/>
    </row>
    <row r="55" spans="2:12">
      <c r="B55" s="38" t="s">
        <v>10</v>
      </c>
      <c r="C55" s="38" t="s">
        <v>42</v>
      </c>
      <c r="D55" s="25" t="s">
        <v>780</v>
      </c>
      <c r="E55" s="25" t="s">
        <v>781</v>
      </c>
      <c r="F55" s="25" t="s">
        <v>773</v>
      </c>
      <c r="G55" s="25" t="s">
        <v>777</v>
      </c>
      <c r="H55" s="25" t="s">
        <v>778</v>
      </c>
      <c r="I55" s="25" t="s">
        <v>779</v>
      </c>
      <c r="J55" s="25" t="s">
        <v>774</v>
      </c>
      <c r="K55" s="25" t="s">
        <v>775</v>
      </c>
      <c r="L55" s="25" t="s">
        <v>776</v>
      </c>
    </row>
    <row r="56" spans="2:12">
      <c r="B56" s="28" t="s">
        <v>197</v>
      </c>
      <c r="C56" s="29"/>
      <c r="D56" s="43">
        <f>'Master Sheet'!D173</f>
        <v>0.26978417266187049</v>
      </c>
      <c r="E56" s="43">
        <f>'Master Sheet'!E173</f>
        <v>0.26978417266187049</v>
      </c>
      <c r="F56" s="43">
        <f>'Master Sheet'!F173</f>
        <v>0.26978417266187049</v>
      </c>
      <c r="G56" s="43">
        <f>'Master Sheet'!G173</f>
        <v>0.29226618705035973</v>
      </c>
      <c r="H56" s="43">
        <f>'Master Sheet'!H173</f>
        <v>0.29226618705035973</v>
      </c>
      <c r="I56" s="43">
        <f>'Master Sheet'!I173</f>
        <v>0.29226618705035973</v>
      </c>
      <c r="J56" s="43">
        <f>'Master Sheet'!J173</f>
        <v>0</v>
      </c>
      <c r="K56" s="43">
        <f>'Master Sheet'!K173</f>
        <v>0.31474820143884891</v>
      </c>
      <c r="L56" s="43" t="e">
        <f>'Master Sheet'!L173</f>
        <v>#DIV/0!</v>
      </c>
    </row>
    <row r="57" spans="2:12"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</row>
    <row r="58" spans="2:12"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</row>
    <row r="59" spans="2:12" ht="15.35">
      <c r="B59" s="64" t="s">
        <v>198</v>
      </c>
      <c r="C59" s="64"/>
      <c r="D59" s="64"/>
      <c r="E59" s="64"/>
      <c r="F59" s="64"/>
      <c r="G59" s="64"/>
      <c r="H59" s="64"/>
      <c r="I59" s="64"/>
      <c r="J59" s="64"/>
      <c r="K59" s="64"/>
      <c r="L59" s="64"/>
    </row>
    <row r="60" spans="2:12">
      <c r="B60" s="38" t="s">
        <v>10</v>
      </c>
      <c r="C60" s="38" t="s">
        <v>42</v>
      </c>
      <c r="D60" s="25" t="s">
        <v>780</v>
      </c>
      <c r="E60" s="25" t="s">
        <v>781</v>
      </c>
      <c r="F60" s="25" t="s">
        <v>773</v>
      </c>
      <c r="G60" s="25" t="s">
        <v>777</v>
      </c>
      <c r="H60" s="25" t="s">
        <v>778</v>
      </c>
      <c r="I60" s="25" t="s">
        <v>779</v>
      </c>
      <c r="J60" s="25" t="s">
        <v>774</v>
      </c>
      <c r="K60" s="25" t="s">
        <v>775</v>
      </c>
      <c r="L60" s="25" t="s">
        <v>776</v>
      </c>
    </row>
    <row r="61" spans="2:12">
      <c r="B61" s="26" t="s">
        <v>212</v>
      </c>
      <c r="C61" s="26"/>
      <c r="D61" s="26">
        <f>'Master Sheet'!D182</f>
        <v>1.3489208633093526</v>
      </c>
      <c r="E61" s="26">
        <f>'Master Sheet'!E182</f>
        <v>1.3489208633093526</v>
      </c>
      <c r="F61" s="26">
        <f>'Master Sheet'!F182</f>
        <v>1.3489208633093526</v>
      </c>
      <c r="G61" s="26">
        <f>'Master Sheet'!G182</f>
        <v>1.3489208633093526</v>
      </c>
      <c r="H61" s="26">
        <f>'Master Sheet'!H182</f>
        <v>1.3489208633093526</v>
      </c>
      <c r="I61" s="26">
        <f>'Master Sheet'!I182</f>
        <v>1.3489208633093526</v>
      </c>
      <c r="J61" s="26">
        <f>'Master Sheet'!J182</f>
        <v>1.3489208633093526</v>
      </c>
      <c r="K61" s="26">
        <f>'Master Sheet'!K182</f>
        <v>1.3489208633093526</v>
      </c>
      <c r="L61" s="26" t="e">
        <f>'Master Sheet'!L182</f>
        <v>#DIV/0!</v>
      </c>
    </row>
    <row r="62" spans="2:12">
      <c r="B62" s="26" t="s">
        <v>214</v>
      </c>
      <c r="C62" s="26"/>
      <c r="D62" s="26">
        <f>'Master Sheet'!D183</f>
        <v>1.3489208633093526</v>
      </c>
      <c r="E62" s="26">
        <f>'Master Sheet'!E183</f>
        <v>1.3489208633093526</v>
      </c>
      <c r="F62" s="26">
        <f>'Master Sheet'!F183</f>
        <v>1.3489208633093526</v>
      </c>
      <c r="G62" s="26">
        <f>'Master Sheet'!G183</f>
        <v>1.3489208633093526</v>
      </c>
      <c r="H62" s="26">
        <f>'Master Sheet'!H183</f>
        <v>1.3489208633093526</v>
      </c>
      <c r="I62" s="26">
        <f>'Master Sheet'!I183</f>
        <v>1.3489208633093526</v>
      </c>
      <c r="J62" s="26">
        <f>'Master Sheet'!J183</f>
        <v>1.3489208633093526</v>
      </c>
      <c r="K62" s="26">
        <f>'Master Sheet'!K183</f>
        <v>1.3489208633093526</v>
      </c>
      <c r="L62" s="26" t="e">
        <f>'Master Sheet'!L183</f>
        <v>#DIV/0!</v>
      </c>
    </row>
    <row r="63" spans="2:12">
      <c r="B63" s="26" t="s">
        <v>218</v>
      </c>
      <c r="C63" s="26"/>
      <c r="D63" s="26">
        <f>'Master Sheet'!D184</f>
        <v>72000</v>
      </c>
      <c r="E63" s="26">
        <f>'Master Sheet'!E184</f>
        <v>72000</v>
      </c>
      <c r="F63" s="26">
        <f>'Master Sheet'!F184</f>
        <v>72000</v>
      </c>
      <c r="G63" s="26">
        <f>'Master Sheet'!G184</f>
        <v>72000</v>
      </c>
      <c r="H63" s="26">
        <f>'Master Sheet'!H184</f>
        <v>72000</v>
      </c>
      <c r="I63" s="26">
        <f>'Master Sheet'!I184</f>
        <v>72000</v>
      </c>
      <c r="J63" s="26">
        <f>'Master Sheet'!J184</f>
        <v>72000</v>
      </c>
      <c r="K63" s="26">
        <f>'Master Sheet'!K184</f>
        <v>72000</v>
      </c>
      <c r="L63" s="26" t="e">
        <f>'Master Sheet'!L184</f>
        <v>#DIV/0!</v>
      </c>
    </row>
    <row r="64" spans="2:12">
      <c r="B64" s="26" t="s">
        <v>219</v>
      </c>
      <c r="C64" s="26"/>
      <c r="D64" s="26">
        <f>'Master Sheet'!D185</f>
        <v>72000</v>
      </c>
      <c r="E64" s="26">
        <f>'Master Sheet'!E185</f>
        <v>72000</v>
      </c>
      <c r="F64" s="26">
        <f>'Master Sheet'!F185</f>
        <v>72000</v>
      </c>
      <c r="G64" s="26">
        <f>'Master Sheet'!G185</f>
        <v>72000</v>
      </c>
      <c r="H64" s="26">
        <f>'Master Sheet'!H185</f>
        <v>72000</v>
      </c>
      <c r="I64" s="26">
        <f>'Master Sheet'!I185</f>
        <v>72000</v>
      </c>
      <c r="J64" s="26">
        <f>'Master Sheet'!J185</f>
        <v>72000</v>
      </c>
      <c r="K64" s="26">
        <f>'Master Sheet'!K185</f>
        <v>72000</v>
      </c>
      <c r="L64" s="26" t="e">
        <f>'Master Sheet'!L185</f>
        <v>#DIV/0!</v>
      </c>
    </row>
    <row r="65" spans="2:14"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</row>
    <row r="66" spans="2:14"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</row>
    <row r="67" spans="2:14" ht="15.35">
      <c r="B67" s="64" t="s">
        <v>232</v>
      </c>
      <c r="C67" s="64"/>
      <c r="D67" s="64"/>
      <c r="E67" s="64"/>
      <c r="F67" s="64"/>
      <c r="G67" s="64"/>
      <c r="H67" s="64"/>
      <c r="I67" s="64"/>
      <c r="J67" s="64"/>
      <c r="K67" s="64"/>
      <c r="L67" s="64"/>
    </row>
    <row r="68" spans="2:14">
      <c r="B68" s="38" t="s">
        <v>10</v>
      </c>
      <c r="C68" s="38" t="s">
        <v>42</v>
      </c>
      <c r="D68" s="25" t="s">
        <v>780</v>
      </c>
      <c r="E68" s="25" t="s">
        <v>781</v>
      </c>
      <c r="F68" s="25" t="s">
        <v>773</v>
      </c>
      <c r="G68" s="25" t="s">
        <v>777</v>
      </c>
      <c r="H68" s="25" t="s">
        <v>778</v>
      </c>
      <c r="I68" s="25" t="s">
        <v>779</v>
      </c>
      <c r="J68" s="25" t="s">
        <v>774</v>
      </c>
      <c r="K68" s="25" t="s">
        <v>775</v>
      </c>
      <c r="L68" s="25" t="s">
        <v>776</v>
      </c>
    </row>
    <row r="69" spans="2:14">
      <c r="B69" s="26" t="s">
        <v>225</v>
      </c>
      <c r="C69" s="26"/>
      <c r="D69" s="45">
        <f t="shared" ref="D69:L69" si="5">D$6+D17+D$28+D$33+D$46+D$51+D$56</f>
        <v>11.988254555429583</v>
      </c>
      <c r="E69" s="45">
        <f t="shared" si="5"/>
        <v>11.988254555429583</v>
      </c>
      <c r="F69" s="45">
        <f t="shared" si="5"/>
        <v>15.159372919497519</v>
      </c>
      <c r="G69" s="45">
        <f t="shared" si="5"/>
        <v>16.372883056834976</v>
      </c>
      <c r="H69" s="45">
        <f t="shared" si="5"/>
        <v>18.041421324649452</v>
      </c>
      <c r="I69" s="45">
        <f t="shared" si="5"/>
        <v>23.689879264189734</v>
      </c>
      <c r="J69" s="45">
        <f t="shared" si="5"/>
        <v>33.137624912683371</v>
      </c>
      <c r="K69" s="45">
        <f t="shared" si="5"/>
        <v>29.933621737636944</v>
      </c>
      <c r="L69" s="45" t="e">
        <f t="shared" si="5"/>
        <v>#DIV/0!</v>
      </c>
    </row>
    <row r="70" spans="2:14">
      <c r="B70" s="26" t="s">
        <v>226</v>
      </c>
      <c r="C70" s="26"/>
      <c r="D70" s="45">
        <f t="shared" ref="D70:L70" si="6">D$6+D18+D$28+D$33+D$46+D$51+D$56</f>
        <v>11.921186373611402</v>
      </c>
      <c r="E70" s="45">
        <f t="shared" si="6"/>
        <v>11.921186373611402</v>
      </c>
      <c r="F70" s="45">
        <f t="shared" si="6"/>
        <v>15.239854737679336</v>
      </c>
      <c r="G70" s="45">
        <f t="shared" si="6"/>
        <v>16.471249723501643</v>
      </c>
      <c r="H70" s="45">
        <f t="shared" si="6"/>
        <v>18.262746324649452</v>
      </c>
      <c r="I70" s="45">
        <f t="shared" si="6"/>
        <v>23.984979264189736</v>
      </c>
      <c r="J70" s="45">
        <f t="shared" si="6"/>
        <v>33.453803484111937</v>
      </c>
      <c r="K70" s="45">
        <f t="shared" si="6"/>
        <v>30.376271737636944</v>
      </c>
      <c r="L70" s="45" t="e">
        <f t="shared" si="6"/>
        <v>#DIV/0!</v>
      </c>
    </row>
    <row r="71" spans="2:14">
      <c r="B71" s="26" t="s">
        <v>227</v>
      </c>
      <c r="C71" s="26"/>
      <c r="D71" s="45">
        <f t="shared" ref="D71:L71" si="7">D$6+D19+D$28+D$33+D$46+D$51+D$56</f>
        <v>11.898830313005343</v>
      </c>
      <c r="E71" s="45">
        <f t="shared" si="7"/>
        <v>11.898830313005343</v>
      </c>
      <c r="F71" s="45">
        <f t="shared" si="7"/>
        <v>15.26668201040661</v>
      </c>
      <c r="G71" s="45">
        <f t="shared" si="7"/>
        <v>16.504038612390531</v>
      </c>
      <c r="H71" s="45">
        <f t="shared" si="7"/>
        <v>18.336521324649453</v>
      </c>
      <c r="I71" s="45">
        <f t="shared" si="7"/>
        <v>24.083345930856403</v>
      </c>
      <c r="J71" s="45">
        <f t="shared" si="7"/>
        <v>33.559196341254797</v>
      </c>
      <c r="K71" s="45">
        <f t="shared" si="7"/>
        <v>30.523821737636947</v>
      </c>
      <c r="L71" s="45" t="e">
        <f t="shared" si="7"/>
        <v>#DIV/0!</v>
      </c>
    </row>
    <row r="72" spans="2:14">
      <c r="B72" s="26" t="s">
        <v>228</v>
      </c>
      <c r="C72" s="26"/>
      <c r="D72" s="45">
        <f t="shared" ref="D72:L72" si="8">D$6+D20+D$28+D$33+D$46+D$51+D$56</f>
        <v>11.876474252399282</v>
      </c>
      <c r="E72" s="45">
        <f t="shared" si="8"/>
        <v>11.876474252399282</v>
      </c>
      <c r="F72" s="45">
        <f t="shared" si="8"/>
        <v>15.293509283133881</v>
      </c>
      <c r="G72" s="45">
        <f t="shared" si="8"/>
        <v>16.536827501279419</v>
      </c>
      <c r="H72" s="45">
        <f t="shared" si="8"/>
        <v>18.410296324649451</v>
      </c>
      <c r="I72" s="45">
        <f t="shared" si="8"/>
        <v>24.18171259752307</v>
      </c>
      <c r="J72" s="45">
        <f t="shared" si="8"/>
        <v>33.664589198397657</v>
      </c>
      <c r="K72" s="45">
        <f t="shared" si="8"/>
        <v>30.671371737636946</v>
      </c>
      <c r="L72" s="45" t="e">
        <f t="shared" si="8"/>
        <v>#DIV/0!</v>
      </c>
    </row>
    <row r="73" spans="2:14">
      <c r="B73" s="26" t="s">
        <v>229</v>
      </c>
      <c r="C73" s="26"/>
      <c r="D73" s="45">
        <f t="shared" ref="D73:L73" si="9">D$6+D21+D$28+D$33+D$46+D$51+D$56</f>
        <v>11.854118191793221</v>
      </c>
      <c r="E73" s="45">
        <f t="shared" si="9"/>
        <v>11.854118191793221</v>
      </c>
      <c r="F73" s="45">
        <f t="shared" si="9"/>
        <v>15.320336555861156</v>
      </c>
      <c r="G73" s="45">
        <f t="shared" si="9"/>
        <v>16.56961639016831</v>
      </c>
      <c r="H73" s="45">
        <f t="shared" si="9"/>
        <v>18.484071324649452</v>
      </c>
      <c r="I73" s="45">
        <f t="shared" si="9"/>
        <v>24.280079264189734</v>
      </c>
      <c r="J73" s="45">
        <f t="shared" si="9"/>
        <v>33.76998205554051</v>
      </c>
      <c r="K73" s="45">
        <f t="shared" si="9"/>
        <v>30.818921737636945</v>
      </c>
      <c r="L73" s="45" t="e">
        <f t="shared" si="9"/>
        <v>#DIV/0!</v>
      </c>
    </row>
    <row r="74" spans="2:14">
      <c r="B74" s="26" t="s">
        <v>230</v>
      </c>
      <c r="C74" s="26"/>
      <c r="D74" s="45">
        <f t="shared" ref="D74:L74" si="10">D$6+D22+D$28+D$33+D$46+D$51+D$56</f>
        <v>11.809406070581099</v>
      </c>
      <c r="E74" s="45">
        <f t="shared" si="10"/>
        <v>11.809406070581099</v>
      </c>
      <c r="F74" s="45">
        <f t="shared" si="10"/>
        <v>15.373991101315699</v>
      </c>
      <c r="G74" s="45">
        <f t="shared" si="10"/>
        <v>16.635194167946086</v>
      </c>
      <c r="H74" s="45">
        <f t="shared" si="10"/>
        <v>18.631621324649451</v>
      </c>
      <c r="I74" s="45">
        <f t="shared" si="10"/>
        <v>24.476812597523072</v>
      </c>
      <c r="J74" s="45">
        <f t="shared" si="10"/>
        <v>33.98076776982623</v>
      </c>
      <c r="K74" s="45">
        <f t="shared" si="10"/>
        <v>31.114021737636946</v>
      </c>
      <c r="L74" s="45" t="e">
        <f t="shared" si="10"/>
        <v>#DIV/0!</v>
      </c>
    </row>
    <row r="75" spans="2:14">
      <c r="B75" s="26" t="s">
        <v>231</v>
      </c>
      <c r="C75" s="26"/>
      <c r="D75" s="45">
        <f t="shared" ref="D75:L75" si="11">D$6+D23+D$28+D$33+D$46+D$51+D$56</f>
        <v>11.764693949368977</v>
      </c>
      <c r="E75" s="45">
        <f t="shared" si="11"/>
        <v>11.764693949368977</v>
      </c>
      <c r="F75" s="45">
        <f t="shared" si="11"/>
        <v>15.427645646770246</v>
      </c>
      <c r="G75" s="45">
        <f t="shared" si="11"/>
        <v>16.700771945723865</v>
      </c>
      <c r="H75" s="45">
        <f t="shared" si="11"/>
        <v>18.779171324649454</v>
      </c>
      <c r="I75" s="45">
        <f t="shared" si="11"/>
        <v>24.673545930856402</v>
      </c>
      <c r="J75" s="45">
        <f>J$6+J23+J$28+J$33+J$46+J$51+J$56</f>
        <v>34.191553484111935</v>
      </c>
      <c r="K75" s="45">
        <f t="shared" si="11"/>
        <v>31.409121737636948</v>
      </c>
      <c r="L75" s="45" t="e">
        <f t="shared" si="11"/>
        <v>#DIV/0!</v>
      </c>
    </row>
    <row r="76" spans="2:14"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</row>
    <row r="77" spans="2:14"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</row>
    <row r="78" spans="2:14" ht="15.35">
      <c r="B78" s="64" t="s">
        <v>242</v>
      </c>
      <c r="C78" s="64"/>
      <c r="D78" s="64"/>
      <c r="E78" s="64"/>
      <c r="F78" s="64"/>
      <c r="G78" s="64"/>
      <c r="H78" s="64"/>
      <c r="I78" s="64"/>
      <c r="J78" s="64"/>
      <c r="K78" s="64"/>
      <c r="L78" s="64"/>
    </row>
    <row r="79" spans="2:14">
      <c r="B79" s="38" t="s">
        <v>10</v>
      </c>
      <c r="C79" s="38" t="s">
        <v>42</v>
      </c>
      <c r="D79" s="25" t="s">
        <v>780</v>
      </c>
      <c r="E79" s="25" t="s">
        <v>781</v>
      </c>
      <c r="F79" s="25" t="s">
        <v>773</v>
      </c>
      <c r="G79" s="25" t="s">
        <v>777</v>
      </c>
      <c r="H79" s="25" t="s">
        <v>778</v>
      </c>
      <c r="I79" s="25" t="s">
        <v>779</v>
      </c>
      <c r="J79" s="25" t="s">
        <v>774</v>
      </c>
      <c r="K79" s="25" t="s">
        <v>775</v>
      </c>
      <c r="L79" s="25" t="s">
        <v>776</v>
      </c>
    </row>
    <row r="80" spans="2:14">
      <c r="B80" s="26" t="s">
        <v>234</v>
      </c>
      <c r="C80" s="27">
        <v>0</v>
      </c>
      <c r="D80" s="45">
        <f>(2-$C80)*D69/Input_Data!C$45</f>
        <v>10.898413232208711</v>
      </c>
      <c r="E80" s="45">
        <f>(2-$C80)*E69/Input_Data!D$45</f>
        <v>6.195480390402885</v>
      </c>
      <c r="F80" s="45">
        <f>(2-$C80)*F69/Input_Data!E$45</f>
        <v>7.5796864597487597</v>
      </c>
      <c r="G80" s="45">
        <f>(2-$C80)*G69/Input_Data!F$45</f>
        <v>4.3954048474724763</v>
      </c>
      <c r="H80" s="45">
        <f>(2-$C80)*H69/Input_Data!G$45</f>
        <v>4.2450403116822244</v>
      </c>
      <c r="I80" s="45">
        <f>(2-$C80)*I69/Input_Data!H$45</f>
        <v>4.4280148157363994</v>
      </c>
      <c r="J80" s="45">
        <f>J69/Input_Data!I$45</f>
        <v>2.3669732080488122</v>
      </c>
      <c r="K80" s="45">
        <f>(2-$C80)*K69/Input_Data!J$45</f>
        <v>3.9911495650182593</v>
      </c>
      <c r="L80" s="45" t="e">
        <f>(2-$C80)*L69/Input_Data!K$45</f>
        <v>#DIV/0!</v>
      </c>
      <c r="N80" s="9" t="s">
        <v>786</v>
      </c>
    </row>
    <row r="81" spans="2:12">
      <c r="B81" s="26" t="s">
        <v>235</v>
      </c>
      <c r="C81" s="27">
        <v>0.3</v>
      </c>
      <c r="D81" s="45">
        <f>(2-$C81)*D70/Input_Data!C$45</f>
        <v>9.2118258341542631</v>
      </c>
      <c r="E81" s="45">
        <f>(2-$C81)*E70/Input_Data!D$45</f>
        <v>5.236696856625163</v>
      </c>
      <c r="F81" s="45">
        <f>(2-$C81)*F70/Input_Data!E$45</f>
        <v>6.4769382635137172</v>
      </c>
      <c r="G81" s="45">
        <f>(2-$C81)*G70/Input_Data!F$45</f>
        <v>3.7585402053627912</v>
      </c>
      <c r="H81" s="45">
        <f>(2-$C81)*H70/Input_Data!G$45</f>
        <v>3.6525492649298905</v>
      </c>
      <c r="I81" s="45">
        <f>(2-$C81)*I70/Input_Data!H$45</f>
        <v>3.8106976401049115</v>
      </c>
      <c r="J81" s="45">
        <f>J70/Input_Data!I$45</f>
        <v>2.3895573917222812</v>
      </c>
      <c r="K81" s="45">
        <f>(2-$C81)*K70/Input_Data!J$45</f>
        <v>3.4426441302655202</v>
      </c>
      <c r="L81" s="45" t="e">
        <f>(2-$C81)*L70/Input_Data!K$45</f>
        <v>#DIV/0!</v>
      </c>
    </row>
    <row r="82" spans="2:12">
      <c r="B82" s="26" t="s">
        <v>236</v>
      </c>
      <c r="C82" s="27">
        <v>0.4</v>
      </c>
      <c r="D82" s="45">
        <f>(2-$C82)*D71/Input_Data!C$45</f>
        <v>8.6536947730947951</v>
      </c>
      <c r="E82" s="45">
        <f>(2-$C82)*E71/Input_Data!D$45</f>
        <v>4.9194130493045352</v>
      </c>
      <c r="F82" s="45">
        <f>(2-$C82)*F71/Input_Data!E$45</f>
        <v>6.1066728041626446</v>
      </c>
      <c r="G82" s="45">
        <f>(2-$C82)*G71/Input_Data!F$45</f>
        <v>3.54449151407045</v>
      </c>
      <c r="H82" s="45">
        <f>(2-$C82)*H71/Input_Data!G$45</f>
        <v>3.4515804846398974</v>
      </c>
      <c r="I82" s="45">
        <f>(2-$C82)*I71/Input_Data!H$45</f>
        <v>3.601247989660771</v>
      </c>
      <c r="J82" s="45">
        <f>J71/Input_Data!I$45</f>
        <v>2.3970854529467713</v>
      </c>
      <c r="K82" s="45">
        <f>(2-$C82)*K71/Input_Data!J$45</f>
        <v>3.2558743186812742</v>
      </c>
      <c r="L82" s="45" t="e">
        <f>(2-$C82)*L71/Input_Data!K$45</f>
        <v>#DIV/0!</v>
      </c>
    </row>
    <row r="83" spans="2:12">
      <c r="B83" s="26" t="s">
        <v>237</v>
      </c>
      <c r="C83" s="27">
        <v>0.5</v>
      </c>
      <c r="D83" s="45">
        <f>(2-$C83)*D72/Input_Data!C$45</f>
        <v>8.0975960811813277</v>
      </c>
      <c r="E83" s="45">
        <f>(2-$C83)*E72/Input_Data!D$45</f>
        <v>4.6032845939532097</v>
      </c>
      <c r="F83" s="45">
        <f>(2-$C83)*F72/Input_Data!E$45</f>
        <v>5.7350659811752056</v>
      </c>
      <c r="G83" s="45">
        <f>(2-$C83)*G72/Input_Data!F$45</f>
        <v>3.3295625841502186</v>
      </c>
      <c r="H83" s="45">
        <f>(2-$C83)*H72/Input_Data!G$45</f>
        <v>3.248875821996962</v>
      </c>
      <c r="I83" s="45">
        <f>(2-$C83)*I72/Input_Data!H$45</f>
        <v>3.3899597099331409</v>
      </c>
      <c r="J83" s="45">
        <f>J72/Input_Data!I$45</f>
        <v>2.404613514171261</v>
      </c>
      <c r="K83" s="45">
        <f>(2-$C83)*K72/Input_Data!J$45</f>
        <v>3.0671371737636948</v>
      </c>
      <c r="L83" s="45" t="e">
        <f>(2-$C83)*L72/Input_Data!K$45</f>
        <v>#DIV/0!</v>
      </c>
    </row>
    <row r="84" spans="2:12">
      <c r="B84" s="26" t="s">
        <v>238</v>
      </c>
      <c r="C84" s="27">
        <v>0.6</v>
      </c>
      <c r="D84" s="45">
        <f>(2-$C84)*D73/Input_Data!C$45</f>
        <v>7.5435297584138663</v>
      </c>
      <c r="E84" s="45">
        <f>(2-$C84)*E73/Input_Data!D$45</f>
        <v>4.2883114905711901</v>
      </c>
      <c r="F84" s="45">
        <f>(2-$C84)*F73/Input_Data!E$45</f>
        <v>5.3621177945514038</v>
      </c>
      <c r="G84" s="45">
        <f>(2-$C84)*G73/Input_Data!F$45</f>
        <v>3.1137534156020981</v>
      </c>
      <c r="H84" s="45">
        <f>(2-$C84)*H73/Input_Data!G$45</f>
        <v>3.0444352770010861</v>
      </c>
      <c r="I84" s="45">
        <f>(2-$C84)*I73/Input_Data!H$45</f>
        <v>3.1768328009220217</v>
      </c>
      <c r="J84" s="45">
        <f>J73/Input_Data!I$45</f>
        <v>2.4121415753957507</v>
      </c>
      <c r="K84" s="45">
        <f>(2-$C84)*K73/Input_Data!J$45</f>
        <v>2.8764326955127815</v>
      </c>
      <c r="L84" s="45" t="e">
        <f>(2-$C84)*L73/Input_Data!K$45</f>
        <v>#DIV/0!</v>
      </c>
    </row>
    <row r="85" spans="2:12">
      <c r="B85" s="26" t="s">
        <v>239</v>
      </c>
      <c r="C85" s="27">
        <v>0.8</v>
      </c>
      <c r="D85" s="45">
        <f>(2-$C85)*D74/Input_Data!C$45</f>
        <v>6.4414942203169625</v>
      </c>
      <c r="E85" s="45">
        <f>(2-$C85)*E74/Input_Data!D$45</f>
        <v>3.6618313397150697</v>
      </c>
      <c r="F85" s="45">
        <f>(2-$C85)*F74/Input_Data!E$45</f>
        <v>4.6121973303947099</v>
      </c>
      <c r="G85" s="45">
        <f>(2-$C85)*G74/Input_Data!F$45</f>
        <v>2.6794943626221883</v>
      </c>
      <c r="H85" s="45">
        <f>(2-$C85)*H74/Input_Data!G$45</f>
        <v>2.6303465399505108</v>
      </c>
      <c r="I85" s="45">
        <f>(2-$C85)*I74/Input_Data!H$45</f>
        <v>2.7450630950493164</v>
      </c>
      <c r="J85" s="45">
        <f>J74/Input_Data!I$45</f>
        <v>2.4271976978447305</v>
      </c>
      <c r="K85" s="45">
        <f>(2-$C85)*K74/Input_Data!J$45</f>
        <v>2.4891217390109555</v>
      </c>
      <c r="L85" s="45" t="e">
        <f>(2-$C85)*L74/Input_Data!K$45</f>
        <v>#DIV/0!</v>
      </c>
    </row>
    <row r="86" spans="2:12">
      <c r="B86" s="26" t="s">
        <v>240</v>
      </c>
      <c r="C86" s="27">
        <v>1</v>
      </c>
      <c r="D86" s="45">
        <f>(2-$C86)*D75/Input_Data!C$45</f>
        <v>5.3475881588040801</v>
      </c>
      <c r="E86" s="45">
        <f>(2-$C86)*E75/Input_Data!D$45</f>
        <v>3.0399725967361699</v>
      </c>
      <c r="F86" s="45">
        <f>(2-$C86)*F75/Input_Data!E$45</f>
        <v>3.8569114116925616</v>
      </c>
      <c r="G86" s="45">
        <f>(2-$C86)*G75/Input_Data!F$45</f>
        <v>2.2417143551307199</v>
      </c>
      <c r="H86" s="45">
        <f>(2-$C86)*H75/Input_Data!G$45</f>
        <v>2.2093142734881712</v>
      </c>
      <c r="I86" s="45">
        <f>(2-$C86)*I75/Input_Data!H$45</f>
        <v>2.3059388720426548</v>
      </c>
      <c r="J86" s="45">
        <f>J75/Input_Data!I$45</f>
        <v>2.4422538202937099</v>
      </c>
      <c r="K86" s="45">
        <f>(2-$C86)*K75/Input_Data!J$45</f>
        <v>2.0939414491757966</v>
      </c>
      <c r="L86" s="45" t="e">
        <f>(2-$C86)*L75/Input_Data!K$45</f>
        <v>#DIV/0!</v>
      </c>
    </row>
    <row r="87" spans="2:12"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</row>
    <row r="88" spans="2:12"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</row>
    <row r="89" spans="2:12" ht="15.35">
      <c r="B89" s="64" t="s">
        <v>241</v>
      </c>
      <c r="C89" s="64"/>
      <c r="D89" s="64"/>
      <c r="E89" s="64"/>
      <c r="F89" s="64"/>
      <c r="G89" s="64"/>
      <c r="H89" s="64"/>
      <c r="I89" s="64"/>
      <c r="J89" s="64"/>
      <c r="K89" s="64"/>
      <c r="L89" s="64"/>
    </row>
    <row r="90" spans="2:12">
      <c r="B90" s="38" t="s">
        <v>10</v>
      </c>
      <c r="C90" s="38" t="s">
        <v>42</v>
      </c>
      <c r="D90" s="25" t="s">
        <v>780</v>
      </c>
      <c r="E90" s="25" t="s">
        <v>781</v>
      </c>
      <c r="F90" s="25" t="s">
        <v>773</v>
      </c>
      <c r="G90" s="25" t="s">
        <v>777</v>
      </c>
      <c r="H90" s="25" t="s">
        <v>778</v>
      </c>
      <c r="I90" s="25" t="s">
        <v>779</v>
      </c>
      <c r="J90" s="25" t="s">
        <v>774</v>
      </c>
      <c r="K90" s="25" t="s">
        <v>775</v>
      </c>
      <c r="L90" s="25" t="s">
        <v>776</v>
      </c>
    </row>
    <row r="91" spans="2:12">
      <c r="B91" s="26" t="s">
        <v>234</v>
      </c>
      <c r="C91" s="27">
        <v>0</v>
      </c>
      <c r="D91" s="40">
        <f>D80*Input_Data!C$44</f>
        <v>24238.071028432172</v>
      </c>
      <c r="E91" s="40">
        <f>E80*Input_Data!D$44</f>
        <v>13778.748388256015</v>
      </c>
      <c r="F91" s="40">
        <f>F80*Input_Data!E$44</f>
        <v>16857.22268648124</v>
      </c>
      <c r="G91" s="40">
        <f>G80*Input_Data!F$44</f>
        <v>9775.3803807787881</v>
      </c>
      <c r="H91" s="40">
        <f>H80*Input_Data!G$44</f>
        <v>9440.9696531812679</v>
      </c>
      <c r="I91" s="40">
        <f>I80*Input_Data!H$44</f>
        <v>9847.9049501977515</v>
      </c>
      <c r="J91" s="40">
        <f>J80*Input_Data!I$44</f>
        <v>5264.1484147005585</v>
      </c>
      <c r="K91" s="40">
        <f>K80*Input_Data!J$44</f>
        <v>8876.3166326006085</v>
      </c>
      <c r="L91" s="40" t="e">
        <f>L80*Input_Data!K$44</f>
        <v>#DIV/0!</v>
      </c>
    </row>
    <row r="92" spans="2:12">
      <c r="B92" s="26" t="s">
        <v>235</v>
      </c>
      <c r="C92" s="27">
        <v>0.3</v>
      </c>
      <c r="D92" s="40">
        <f>D81*Input_Data!C$44</f>
        <v>20487.10065515908</v>
      </c>
      <c r="E92" s="40">
        <f>E81*Input_Data!D$44</f>
        <v>11646.413809134363</v>
      </c>
      <c r="F92" s="40">
        <f>F81*Input_Data!E$44</f>
        <v>14404.710698054507</v>
      </c>
      <c r="G92" s="40">
        <f>G81*Input_Data!F$44</f>
        <v>8358.9934167268475</v>
      </c>
      <c r="H92" s="40">
        <f>H81*Input_Data!G$44</f>
        <v>8123.2695652040766</v>
      </c>
      <c r="I92" s="40">
        <f>I81*Input_Data!H$44</f>
        <v>8474.9915515933226</v>
      </c>
      <c r="J92" s="40">
        <f>J81*Input_Data!I$44</f>
        <v>5314.3756391903535</v>
      </c>
      <c r="K92" s="40">
        <f>K81*Input_Data!J$44</f>
        <v>7656.4405457105167</v>
      </c>
      <c r="L92" s="40" t="e">
        <f>L81*Input_Data!K$44</f>
        <v>#DIV/0!</v>
      </c>
    </row>
    <row r="93" spans="2:12">
      <c r="B93" s="26" t="s">
        <v>236</v>
      </c>
      <c r="C93" s="27">
        <v>0.4</v>
      </c>
      <c r="D93" s="40">
        <f>D82*Input_Data!C$44</f>
        <v>19245.817175362823</v>
      </c>
      <c r="E93" s="40">
        <f>E82*Input_Data!D$44</f>
        <v>10940.774621653287</v>
      </c>
      <c r="F93" s="40">
        <f>F82*Input_Data!E$44</f>
        <v>13581.240316457721</v>
      </c>
      <c r="G93" s="40">
        <f>G82*Input_Data!F$44</f>
        <v>7882.9491272926807</v>
      </c>
      <c r="H93" s="40">
        <f>H82*Input_Data!G$44</f>
        <v>7676.314997839132</v>
      </c>
      <c r="I93" s="40">
        <f>I82*Input_Data!H$44</f>
        <v>8009.1755290055544</v>
      </c>
      <c r="J93" s="40">
        <f>J82*Input_Data!I$44</f>
        <v>5331.1180473536197</v>
      </c>
      <c r="K93" s="40">
        <f>K82*Input_Data!J$44</f>
        <v>7241.064484747154</v>
      </c>
      <c r="L93" s="40" t="e">
        <f>L82*Input_Data!K$44</f>
        <v>#DIV/0!</v>
      </c>
    </row>
    <row r="94" spans="2:12">
      <c r="B94" s="26" t="s">
        <v>237</v>
      </c>
      <c r="C94" s="27">
        <v>0.5</v>
      </c>
      <c r="D94" s="40">
        <f>D83*Input_Data!C$44</f>
        <v>18009.053684547274</v>
      </c>
      <c r="E94" s="40">
        <f>E83*Input_Data!D$44</f>
        <v>10237.704936951939</v>
      </c>
      <c r="F94" s="40">
        <f>F83*Input_Data!E$44</f>
        <v>12754.786742133658</v>
      </c>
      <c r="G94" s="40">
        <f>G83*Input_Data!F$44</f>
        <v>7404.9471871500864</v>
      </c>
      <c r="H94" s="40">
        <f>H83*Input_Data!G$44</f>
        <v>7225.4998281212438</v>
      </c>
      <c r="I94" s="40">
        <f>I83*Input_Data!H$44</f>
        <v>7539.2703948913049</v>
      </c>
      <c r="J94" s="40">
        <f>J83*Input_Data!I$44</f>
        <v>5347.8604555168849</v>
      </c>
      <c r="K94" s="40">
        <f>K83*Input_Data!J$44</f>
        <v>6821.313074450457</v>
      </c>
      <c r="L94" s="40" t="e">
        <f>L83*Input_Data!K$44</f>
        <v>#DIV/0!</v>
      </c>
    </row>
    <row r="95" spans="2:12">
      <c r="B95" s="26" t="s">
        <v>238</v>
      </c>
      <c r="C95" s="27">
        <v>0.6</v>
      </c>
      <c r="D95" s="40">
        <f>D84*Input_Data!C$44</f>
        <v>16776.810182712437</v>
      </c>
      <c r="E95" s="40">
        <f>E84*Input_Data!D$44</f>
        <v>9537.2047550303269</v>
      </c>
      <c r="F95" s="40">
        <f>F84*Input_Data!E$44</f>
        <v>11925.349975082321</v>
      </c>
      <c r="G95" s="40">
        <f>G84*Input_Data!F$44</f>
        <v>6924.9875962990664</v>
      </c>
      <c r="H95" s="40">
        <f>H84*Input_Data!G$44</f>
        <v>6770.8240560504155</v>
      </c>
      <c r="I95" s="40">
        <f>I84*Input_Data!H$44</f>
        <v>7065.2761492505761</v>
      </c>
      <c r="J95" s="40">
        <f>J84*Input_Data!I$44</f>
        <v>5364.6028636801493</v>
      </c>
      <c r="K95" s="40">
        <f>K84*Input_Data!J$44</f>
        <v>6397.1863148204257</v>
      </c>
      <c r="L95" s="40" t="e">
        <f>L84*Input_Data!K$44</f>
        <v>#DIV/0!</v>
      </c>
    </row>
    <row r="96" spans="2:12">
      <c r="B96" s="26" t="s">
        <v>239</v>
      </c>
      <c r="C96" s="27">
        <v>0.8</v>
      </c>
      <c r="D96" s="40">
        <f>D85*Input_Data!C$44</f>
        <v>14325.883145984924</v>
      </c>
      <c r="E96" s="40">
        <f>E85*Input_Data!D$44</f>
        <v>8143.9128995263154</v>
      </c>
      <c r="F96" s="40">
        <f>F85*Input_Data!E$44</f>
        <v>10257.526862797835</v>
      </c>
      <c r="G96" s="40">
        <f>G85*Input_Data!F$44</f>
        <v>5959.1954624717464</v>
      </c>
      <c r="H96" s="40">
        <f>H85*Input_Data!G$44</f>
        <v>5849.8907048499359</v>
      </c>
      <c r="I96" s="40">
        <f>I85*Input_Data!H$44</f>
        <v>6105.02032338968</v>
      </c>
      <c r="J96" s="40">
        <f>J85*Input_Data!I$44</f>
        <v>5398.0876800066808</v>
      </c>
      <c r="K96" s="40">
        <f>K85*Input_Data!J$44</f>
        <v>5535.8067475603648</v>
      </c>
      <c r="L96" s="40" t="e">
        <f>L85*Input_Data!K$44</f>
        <v>#DIV/0!</v>
      </c>
    </row>
    <row r="97" spans="2:14">
      <c r="B97" s="26" t="s">
        <v>240</v>
      </c>
      <c r="C97" s="27">
        <v>1</v>
      </c>
      <c r="D97" s="40">
        <f>D86*Input_Data!C$44</f>
        <v>11893.036065180275</v>
      </c>
      <c r="E97" s="40">
        <f>E86*Input_Data!D$44</f>
        <v>6760.8990551412417</v>
      </c>
      <c r="F97" s="40">
        <f>F86*Input_Data!E$44</f>
        <v>8577.7709796042564</v>
      </c>
      <c r="G97" s="40">
        <f>G86*Input_Data!F$44</f>
        <v>4985.5727258107208</v>
      </c>
      <c r="H97" s="40">
        <f>H86*Input_Data!G$44</f>
        <v>4913.5149442376924</v>
      </c>
      <c r="I97" s="40">
        <f>I86*Input_Data!H$44</f>
        <v>5128.4080514228644</v>
      </c>
      <c r="J97" s="40">
        <f>J86*Input_Data!I$44</f>
        <v>5431.5724963332104</v>
      </c>
      <c r="K97" s="40">
        <f>K86*Input_Data!J$44</f>
        <v>4656.9257829669714</v>
      </c>
      <c r="L97" s="40" t="e">
        <f>L86*Input_Data!K$44</f>
        <v>#DIV/0!</v>
      </c>
    </row>
    <row r="98" spans="2:14"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</row>
    <row r="99" spans="2:14"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</row>
    <row r="100" spans="2:14" ht="15.35">
      <c r="B100" s="64" t="s">
        <v>233</v>
      </c>
      <c r="C100" s="64"/>
      <c r="D100" s="64"/>
      <c r="E100" s="64"/>
      <c r="F100" s="64"/>
      <c r="G100" s="64"/>
      <c r="H100" s="64"/>
      <c r="I100" s="64"/>
      <c r="J100" s="64"/>
      <c r="K100" s="64"/>
      <c r="L100" s="64"/>
    </row>
    <row r="101" spans="2:14">
      <c r="B101" s="38" t="s">
        <v>10</v>
      </c>
      <c r="C101" s="38" t="s">
        <v>42</v>
      </c>
      <c r="D101" s="25" t="s">
        <v>780</v>
      </c>
      <c r="E101" s="25" t="s">
        <v>781</v>
      </c>
      <c r="F101" s="25" t="s">
        <v>773</v>
      </c>
      <c r="G101" s="25" t="s">
        <v>777</v>
      </c>
      <c r="H101" s="25" t="s">
        <v>778</v>
      </c>
      <c r="I101" s="25" t="s">
        <v>779</v>
      </c>
      <c r="J101" s="25" t="s">
        <v>774</v>
      </c>
      <c r="K101" s="25" t="s">
        <v>775</v>
      </c>
      <c r="L101" s="25" t="s">
        <v>776</v>
      </c>
    </row>
    <row r="102" spans="2:14">
      <c r="B102" s="26" t="s">
        <v>234</v>
      </c>
      <c r="C102" s="27">
        <v>0</v>
      </c>
      <c r="D102" s="40">
        <f>(2-$C102)*D91*Input_Data!C$45</f>
        <v>106647.51252510157</v>
      </c>
      <c r="E102" s="40">
        <f>(2-$C102)*E91*Input_Data!D$45</f>
        <v>106647.51252510156</v>
      </c>
      <c r="F102" s="40">
        <f>(2-$C102)*F91*Input_Data!E$45</f>
        <v>134857.78149184992</v>
      </c>
      <c r="G102" s="40">
        <f>(2-$C102)*G91*Input_Data!F$45</f>
        <v>145653.16767360395</v>
      </c>
      <c r="H102" s="40">
        <f>(2-$C102)*H91*Input_Data!G$45</f>
        <v>160496.48410408155</v>
      </c>
      <c r="I102" s="40">
        <f>(2-$C102)*I91*Input_Data!H$45</f>
        <v>210745.16593423186</v>
      </c>
      <c r="J102" s="40">
        <f>(2-$C102)*J91*Input_Data!I$45</f>
        <v>147396.15561161563</v>
      </c>
      <c r="K102" s="40">
        <f>(2-$C102)*K91*Input_Data!J$45</f>
        <v>266289.49897801824</v>
      </c>
      <c r="L102" s="40" t="e">
        <f>(1+$C102)*L91*Input_Data!K$45</f>
        <v>#DIV/0!</v>
      </c>
      <c r="N102" s="9" t="s">
        <v>787</v>
      </c>
    </row>
    <row r="103" spans="2:14">
      <c r="B103" s="26" t="s">
        <v>235</v>
      </c>
      <c r="C103" s="27">
        <v>0.3</v>
      </c>
      <c r="D103" s="40">
        <f>(2-$C103)*D92*Input_Data!C$45</f>
        <v>76621.756450294968</v>
      </c>
      <c r="E103" s="40">
        <f>(2-$C103)*E92*Input_Data!D$45</f>
        <v>76621.756450294968</v>
      </c>
      <c r="F103" s="40">
        <f>(2-$C103)*F92*Input_Data!E$45</f>
        <v>97952.032746770637</v>
      </c>
      <c r="G103" s="40">
        <f>(2-$C103)*G92*Input_Data!F$45</f>
        <v>105866.65162284551</v>
      </c>
      <c r="H103" s="40">
        <f>(2-$C103)*H92*Input_Data!G$45</f>
        <v>117381.24521719891</v>
      </c>
      <c r="I103" s="40">
        <f>(2-$C103)*I92*Input_Data!H$45</f>
        <v>154160.09632348252</v>
      </c>
      <c r="J103" s="40">
        <f>(2-$C103)*J92*Input_Data!I$45</f>
        <v>126482.14021273042</v>
      </c>
      <c r="K103" s="40">
        <f>(2-$C103)*K92*Input_Data!J$45</f>
        <v>195239.23391561816</v>
      </c>
      <c r="L103" s="40" t="e">
        <f>(1+$C103)*L92*Input_Data!K$45</f>
        <v>#DIV/0!</v>
      </c>
    </row>
    <row r="104" spans="2:14">
      <c r="B104" s="26" t="s">
        <v>236</v>
      </c>
      <c r="C104" s="27">
        <v>0.4</v>
      </c>
      <c r="D104" s="40">
        <f>(2-$C104)*D93*Input_Data!C$45</f>
        <v>67745.276457277141</v>
      </c>
      <c r="E104" s="40">
        <f>(2-$C104)*E93*Input_Data!D$45</f>
        <v>67745.276457277156</v>
      </c>
      <c r="F104" s="40">
        <f>(2-$C104)*F93*Input_Data!E$45</f>
        <v>86919.938025329422</v>
      </c>
      <c r="G104" s="40">
        <f>(2-$C104)*G93*Input_Data!F$45</f>
        <v>93964.753597328774</v>
      </c>
      <c r="H104" s="40">
        <f>(2-$C104)*H93*Input_Data!G$45</f>
        <v>104397.88397061219</v>
      </c>
      <c r="I104" s="40">
        <f>(2-$C104)*I93*Input_Data!H$45</f>
        <v>137117.0850565751</v>
      </c>
      <c r="J104" s="40">
        <f>(2-$C104)*J93*Input_Data!I$45</f>
        <v>119417.04426072107</v>
      </c>
      <c r="K104" s="40">
        <f>(2-$C104)*K93*Input_Data!J$45</f>
        <v>173785.54763393171</v>
      </c>
      <c r="L104" s="40" t="e">
        <f>(1+$C104)*L93*Input_Data!K$45</f>
        <v>#DIV/0!</v>
      </c>
    </row>
    <row r="105" spans="2:14">
      <c r="B105" s="26" t="s">
        <v>237</v>
      </c>
      <c r="C105" s="27">
        <v>0.5</v>
      </c>
      <c r="D105" s="40">
        <f>(2-$C105)*D94*Input_Data!C$45</f>
        <v>59429.877159006013</v>
      </c>
      <c r="E105" s="40">
        <f>(2-$C105)*E94*Input_Data!D$45</f>
        <v>59429.877159006013</v>
      </c>
      <c r="F105" s="40">
        <f>(2-$C105)*F94*Input_Data!E$45</f>
        <v>76528.72045280195</v>
      </c>
      <c r="G105" s="40">
        <f>(2-$C105)*G94*Input_Data!F$45</f>
        <v>82750.284816402214</v>
      </c>
      <c r="H105" s="40">
        <f>(2-$C105)*H94*Input_Data!G$45</f>
        <v>92125.122808545857</v>
      </c>
      <c r="I105" s="40">
        <f>(2-$C105)*I94*Input_Data!H$45</f>
        <v>121005.28983800544</v>
      </c>
      <c r="J105" s="40">
        <f>(2-$C105)*J94*Input_Data!I$45</f>
        <v>112305.06956585457</v>
      </c>
      <c r="K105" s="40">
        <f>(2-$C105)*K94*Input_Data!J$45</f>
        <v>153479.54417513529</v>
      </c>
      <c r="L105" s="40" t="e">
        <f>(1+$C105)*L94*Input_Data!K$45</f>
        <v>#DIV/0!</v>
      </c>
    </row>
    <row r="106" spans="2:14">
      <c r="B106" s="26" t="s">
        <v>238</v>
      </c>
      <c r="C106" s="27">
        <v>0.6</v>
      </c>
      <c r="D106" s="40">
        <f>(2-$C106)*D95*Input_Data!C$45</f>
        <v>51672.575362754309</v>
      </c>
      <c r="E106" s="40">
        <f>(2-$C106)*E95*Input_Data!D$45</f>
        <v>51672.575362754309</v>
      </c>
      <c r="F106" s="40">
        <f>(2-$C106)*F95*Input_Data!E$45</f>
        <v>66781.959860460993</v>
      </c>
      <c r="G106" s="40">
        <f>(2-$C106)*G95*Input_Data!F$45</f>
        <v>72227.620629399258</v>
      </c>
      <c r="H106" s="40">
        <f>(2-$C106)*H95*Input_Data!G$45</f>
        <v>80572.806266999934</v>
      </c>
      <c r="I106" s="40">
        <f>(2-$C106)*I95*Input_Data!H$45</f>
        <v>105837.83671577362</v>
      </c>
      <c r="J106" s="40">
        <f>(2-$C106)*J95*Input_Data!I$45</f>
        <v>105146.21612813091</v>
      </c>
      <c r="K106" s="40">
        <f>(2-$C106)*K95*Input_Data!J$45</f>
        <v>134340.91261122894</v>
      </c>
      <c r="L106" s="40" t="e">
        <f>(1+$C106)*L95*Input_Data!K$45</f>
        <v>#DIV/0!</v>
      </c>
    </row>
    <row r="107" spans="2:14">
      <c r="B107" s="26" t="s">
        <v>239</v>
      </c>
      <c r="C107" s="27">
        <v>0.8</v>
      </c>
      <c r="D107" s="40">
        <f>(2-$C107)*D96*Input_Data!C$45</f>
        <v>37820.331505400201</v>
      </c>
      <c r="E107" s="40">
        <f>(2-$C107)*E96*Input_Data!D$45</f>
        <v>37820.331505400209</v>
      </c>
      <c r="F107" s="40">
        <f>(2-$C107)*F96*Input_Data!E$45</f>
        <v>49236.128941429604</v>
      </c>
      <c r="G107" s="40">
        <f>(2-$C107)*G96*Input_Data!F$45</f>
        <v>53275.20743449741</v>
      </c>
      <c r="H107" s="40">
        <f>(2-$C107)*H96*Input_Data!G$45</f>
        <v>59668.885189469343</v>
      </c>
      <c r="I107" s="40">
        <f>(2-$C107)*I96*Input_Data!H$45</f>
        <v>78388.460952323483</v>
      </c>
      <c r="J107" s="40">
        <f>(2-$C107)*J96*Input_Data!I$45</f>
        <v>90687.873024112225</v>
      </c>
      <c r="K107" s="40">
        <f>(2-$C107)*K96*Input_Data!J$45</f>
        <v>99644.521456086557</v>
      </c>
      <c r="L107" s="40" t="e">
        <f>(1+$C107)*L96*Input_Data!K$45</f>
        <v>#DIV/0!</v>
      </c>
    </row>
    <row r="108" spans="2:14">
      <c r="B108" s="26" t="s">
        <v>240</v>
      </c>
      <c r="C108" s="27">
        <v>1</v>
      </c>
      <c r="D108" s="40">
        <f>(2-$C108)*D97*Input_Data!C$45</f>
        <v>26164.679343396605</v>
      </c>
      <c r="E108" s="40">
        <f>(2-$C108)*E97*Input_Data!D$45</f>
        <v>26164.679343396605</v>
      </c>
      <c r="F108" s="40">
        <f>(2-$C108)*F97*Input_Data!E$45</f>
        <v>34311.083918417025</v>
      </c>
      <c r="G108" s="40">
        <f>(2-$C108)*G97*Input_Data!F$45</f>
        <v>37142.516807289874</v>
      </c>
      <c r="H108" s="40">
        <f>(2-$C108)*H97*Input_Data!G$45</f>
        <v>41764.877026020382</v>
      </c>
      <c r="I108" s="40">
        <f>(2-$C108)*I97*Input_Data!H$45</f>
        <v>54873.966150224645</v>
      </c>
      <c r="J108" s="40">
        <f>(2-$C108)*J97*Input_Data!I$45</f>
        <v>76042.014948664946</v>
      </c>
      <c r="K108" s="40">
        <f>(2-$C108)*K97*Input_Data!J$45</f>
        <v>69853.886744504576</v>
      </c>
      <c r="L108" s="40" t="e">
        <f>(1+$C108)*L97*Input_Data!K$45</f>
        <v>#DIV/0!</v>
      </c>
    </row>
  </sheetData>
  <mergeCells count="13">
    <mergeCell ref="B44:L44"/>
    <mergeCell ref="B67:L67"/>
    <mergeCell ref="B100:L100"/>
    <mergeCell ref="B89:L89"/>
    <mergeCell ref="B78:L78"/>
    <mergeCell ref="B59:L59"/>
    <mergeCell ref="B49:L49"/>
    <mergeCell ref="B54:L54"/>
    <mergeCell ref="A2:L2"/>
    <mergeCell ref="B31:L31"/>
    <mergeCell ref="B26:L26"/>
    <mergeCell ref="B15:L15"/>
    <mergeCell ref="B4:L4"/>
  </mergeCells>
  <hyperlinks>
    <hyperlink ref="B1" location="'Master Sheet'!A1" display="Previous" xr:uid="{00000000-0004-0000-0400-000000000000}"/>
    <hyperlink ref="E1" location="'ZBC-Main Page'!A1" display="Main-Page" xr:uid="{00000000-0004-0000-0400-000001000000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8"/>
  <sheetViews>
    <sheetView showGridLines="0" topLeftCell="A17" workbookViewId="0">
      <selection activeCell="E6" sqref="E6:E27"/>
    </sheetView>
  </sheetViews>
  <sheetFormatPr defaultColWidth="8.80859375" defaultRowHeight="12.7"/>
  <cols>
    <col min="1" max="1" width="1.09375" style="1" customWidth="1"/>
    <col min="2" max="2" width="13.6171875" style="1" customWidth="1"/>
    <col min="3" max="3" width="14.28515625" style="1" customWidth="1"/>
    <col min="4" max="4" width="16.6171875" style="1" customWidth="1"/>
    <col min="5" max="7" width="10.6171875" style="1" customWidth="1"/>
    <col min="8" max="16384" width="8.80859375" style="1"/>
  </cols>
  <sheetData>
    <row r="1" spans="1:7">
      <c r="B1" s="2" t="s">
        <v>222</v>
      </c>
      <c r="G1" s="3" t="s">
        <v>256</v>
      </c>
    </row>
    <row r="2" spans="1:7" ht="29.7">
      <c r="A2" s="65" t="s">
        <v>788</v>
      </c>
      <c r="B2" s="65"/>
      <c r="C2" s="65"/>
      <c r="D2" s="65"/>
      <c r="E2" s="65"/>
      <c r="F2" s="65"/>
      <c r="G2" s="65"/>
    </row>
    <row r="4" spans="1:7" ht="15.35">
      <c r="B4" s="64" t="s">
        <v>243</v>
      </c>
      <c r="C4" s="64"/>
      <c r="D4" s="64"/>
      <c r="E4" s="64"/>
      <c r="F4" s="64"/>
      <c r="G4" s="64"/>
    </row>
    <row r="5" spans="1:7">
      <c r="B5" s="38" t="s">
        <v>10</v>
      </c>
      <c r="C5" s="38" t="s">
        <v>244</v>
      </c>
      <c r="D5" s="25" t="s">
        <v>245</v>
      </c>
      <c r="E5" s="25" t="s">
        <v>248</v>
      </c>
      <c r="F5" s="25" t="s">
        <v>249</v>
      </c>
      <c r="G5" s="25" t="s">
        <v>250</v>
      </c>
    </row>
    <row r="6" spans="1:7">
      <c r="B6" s="26" t="s">
        <v>780</v>
      </c>
      <c r="C6" s="47">
        <v>0</v>
      </c>
      <c r="D6" s="27" t="str">
        <f>CONCATENATE(B6,C6)</f>
        <v>Tempo 2T 3W0</v>
      </c>
      <c r="E6" s="45">
        <f>'ZBC-Calculations'!D80</f>
        <v>10.898413232208711</v>
      </c>
      <c r="F6" s="40">
        <f>'ZBC-Calculations'!D91</f>
        <v>24238.071028432172</v>
      </c>
      <c r="G6" s="40">
        <f>'ZBC-Calculations'!D102</f>
        <v>106647.51252510157</v>
      </c>
    </row>
    <row r="7" spans="1:7">
      <c r="B7" s="26" t="s">
        <v>780</v>
      </c>
      <c r="C7" s="47">
        <v>0.3</v>
      </c>
      <c r="D7" s="27" t="str">
        <f t="shared" ref="D7:D54" si="0">CONCATENATE(B7,C7)</f>
        <v>Tempo 2T 3W0.3</v>
      </c>
      <c r="E7" s="45">
        <f>'ZBC-Calculations'!D81</f>
        <v>9.2118258341542631</v>
      </c>
      <c r="F7" s="40">
        <f>'ZBC-Calculations'!D92</f>
        <v>20487.10065515908</v>
      </c>
      <c r="G7" s="40">
        <f>'ZBC-Calculations'!D103</f>
        <v>76621.756450294968</v>
      </c>
    </row>
    <row r="8" spans="1:7">
      <c r="B8" s="26" t="s">
        <v>780</v>
      </c>
      <c r="C8" s="47">
        <v>0.4</v>
      </c>
      <c r="D8" s="27" t="str">
        <f t="shared" si="0"/>
        <v>Tempo 2T 3W0.4</v>
      </c>
      <c r="E8" s="45">
        <f>'ZBC-Calculations'!D82</f>
        <v>8.6536947730947951</v>
      </c>
      <c r="F8" s="40">
        <f>'ZBC-Calculations'!D93</f>
        <v>19245.817175362823</v>
      </c>
      <c r="G8" s="40">
        <f>'ZBC-Calculations'!D104</f>
        <v>67745.276457277141</v>
      </c>
    </row>
    <row r="9" spans="1:7">
      <c r="B9" s="26" t="s">
        <v>780</v>
      </c>
      <c r="C9" s="47">
        <v>0.5</v>
      </c>
      <c r="D9" s="27" t="str">
        <f t="shared" si="0"/>
        <v>Tempo 2T 3W0.5</v>
      </c>
      <c r="E9" s="45">
        <f>'ZBC-Calculations'!D83</f>
        <v>8.0975960811813277</v>
      </c>
      <c r="F9" s="40">
        <f>'ZBC-Calculations'!D94</f>
        <v>18009.053684547274</v>
      </c>
      <c r="G9" s="40">
        <f>'ZBC-Calculations'!D105</f>
        <v>59429.877159006013</v>
      </c>
    </row>
    <row r="10" spans="1:7">
      <c r="B10" s="26" t="s">
        <v>780</v>
      </c>
      <c r="C10" s="47">
        <v>0.6</v>
      </c>
      <c r="D10" s="27" t="str">
        <f t="shared" si="0"/>
        <v>Tempo 2T 3W0.6</v>
      </c>
      <c r="E10" s="45">
        <f>'ZBC-Calculations'!D84</f>
        <v>7.5435297584138663</v>
      </c>
      <c r="F10" s="40">
        <f>'ZBC-Calculations'!D95</f>
        <v>16776.810182712437</v>
      </c>
      <c r="G10" s="40">
        <f>'ZBC-Calculations'!D106</f>
        <v>51672.575362754309</v>
      </c>
    </row>
    <row r="11" spans="1:7">
      <c r="B11" s="26" t="s">
        <v>780</v>
      </c>
      <c r="C11" s="47">
        <v>0.8</v>
      </c>
      <c r="D11" s="27" t="str">
        <f t="shared" si="0"/>
        <v>Tempo 2T 3W0.8</v>
      </c>
      <c r="E11" s="45">
        <f>'ZBC-Calculations'!D85</f>
        <v>6.4414942203169625</v>
      </c>
      <c r="F11" s="40">
        <f>'ZBC-Calculations'!D96</f>
        <v>14325.883145984924</v>
      </c>
      <c r="G11" s="40">
        <f>'ZBC-Calculations'!D107</f>
        <v>37820.331505400201</v>
      </c>
    </row>
    <row r="12" spans="1:7">
      <c r="B12" s="26" t="s">
        <v>780</v>
      </c>
      <c r="C12" s="47">
        <v>1</v>
      </c>
      <c r="D12" s="27" t="str">
        <f t="shared" si="0"/>
        <v>Tempo 2T 3W1</v>
      </c>
      <c r="E12" s="45">
        <f>'ZBC-Calculations'!D86</f>
        <v>5.3475881588040801</v>
      </c>
      <c r="F12" s="40">
        <f>'ZBC-Calculations'!D97</f>
        <v>11893.036065180275</v>
      </c>
      <c r="G12" s="40">
        <f>'ZBC-Calculations'!D108</f>
        <v>26164.679343396605</v>
      </c>
    </row>
    <row r="13" spans="1:7">
      <c r="B13" s="26" t="s">
        <v>781</v>
      </c>
      <c r="C13" s="47">
        <v>0</v>
      </c>
      <c r="D13" s="27" t="str">
        <f t="shared" si="0"/>
        <v>Tempo 2T 4W0</v>
      </c>
      <c r="E13" s="45">
        <f>'ZBC-Calculations'!E80</f>
        <v>6.195480390402885</v>
      </c>
      <c r="F13" s="40">
        <f>'ZBC-Calculations'!E91</f>
        <v>13778.748388256015</v>
      </c>
      <c r="G13" s="40">
        <f>'ZBC-Calculations'!E102</f>
        <v>106647.51252510156</v>
      </c>
    </row>
    <row r="14" spans="1:7">
      <c r="B14" s="26" t="s">
        <v>781</v>
      </c>
      <c r="C14" s="47">
        <v>0.3</v>
      </c>
      <c r="D14" s="27" t="str">
        <f t="shared" si="0"/>
        <v>Tempo 2T 4W0.3</v>
      </c>
      <c r="E14" s="45">
        <f>'ZBC-Calculations'!E81</f>
        <v>5.236696856625163</v>
      </c>
      <c r="F14" s="40">
        <f>'ZBC-Calculations'!E92</f>
        <v>11646.413809134363</v>
      </c>
      <c r="G14" s="40">
        <f>'ZBC-Calculations'!E103</f>
        <v>76621.756450294968</v>
      </c>
    </row>
    <row r="15" spans="1:7">
      <c r="B15" s="26" t="s">
        <v>781</v>
      </c>
      <c r="C15" s="47">
        <v>0.4</v>
      </c>
      <c r="D15" s="27" t="str">
        <f t="shared" si="0"/>
        <v>Tempo 2T 4W0.4</v>
      </c>
      <c r="E15" s="45">
        <f>'ZBC-Calculations'!E82</f>
        <v>4.9194130493045352</v>
      </c>
      <c r="F15" s="40">
        <f>'ZBC-Calculations'!E93</f>
        <v>10940.774621653287</v>
      </c>
      <c r="G15" s="40">
        <f>'ZBC-Calculations'!E104</f>
        <v>67745.276457277156</v>
      </c>
    </row>
    <row r="16" spans="1:7">
      <c r="B16" s="26" t="s">
        <v>781</v>
      </c>
      <c r="C16" s="47">
        <v>0.5</v>
      </c>
      <c r="D16" s="27" t="str">
        <f t="shared" si="0"/>
        <v>Tempo 2T 4W0.5</v>
      </c>
      <c r="E16" s="45">
        <f>'ZBC-Calculations'!E83</f>
        <v>4.6032845939532097</v>
      </c>
      <c r="F16" s="40">
        <f>'ZBC-Calculations'!E94</f>
        <v>10237.704936951939</v>
      </c>
      <c r="G16" s="40">
        <f>'ZBC-Calculations'!E105</f>
        <v>59429.877159006013</v>
      </c>
    </row>
    <row r="17" spans="2:9">
      <c r="B17" s="26" t="s">
        <v>781</v>
      </c>
      <c r="C17" s="47">
        <v>0.6</v>
      </c>
      <c r="D17" s="27" t="str">
        <f t="shared" si="0"/>
        <v>Tempo 2T 4W0.6</v>
      </c>
      <c r="E17" s="45">
        <f>'ZBC-Calculations'!E84</f>
        <v>4.2883114905711901</v>
      </c>
      <c r="F17" s="40">
        <f>'ZBC-Calculations'!E95</f>
        <v>9537.2047550303269</v>
      </c>
      <c r="G17" s="40">
        <f>'ZBC-Calculations'!E106</f>
        <v>51672.575362754309</v>
      </c>
    </row>
    <row r="18" spans="2:9">
      <c r="B18" s="26" t="s">
        <v>781</v>
      </c>
      <c r="C18" s="47">
        <v>0.8</v>
      </c>
      <c r="D18" s="27" t="str">
        <f t="shared" si="0"/>
        <v>Tempo 2T 4W0.8</v>
      </c>
      <c r="E18" s="45">
        <f>'ZBC-Calculations'!E85</f>
        <v>3.6618313397150697</v>
      </c>
      <c r="F18" s="40">
        <f>'ZBC-Calculations'!E96</f>
        <v>8143.9128995263154</v>
      </c>
      <c r="G18" s="40">
        <f>'ZBC-Calculations'!E107</f>
        <v>37820.331505400209</v>
      </c>
    </row>
    <row r="19" spans="2:9">
      <c r="B19" s="26" t="s">
        <v>781</v>
      </c>
      <c r="C19" s="47">
        <v>1</v>
      </c>
      <c r="D19" s="27" t="str">
        <f t="shared" si="0"/>
        <v>Tempo 2T 4W1</v>
      </c>
      <c r="E19" s="45">
        <f>'ZBC-Calculations'!E86</f>
        <v>3.0399725967361699</v>
      </c>
      <c r="F19" s="40">
        <f>'ZBC-Calculations'!E97</f>
        <v>6760.8990551412417</v>
      </c>
      <c r="G19" s="40">
        <f>'ZBC-Calculations'!E108</f>
        <v>26164.679343396605</v>
      </c>
    </row>
    <row r="20" spans="2:9">
      <c r="B20" s="26" t="s">
        <v>773</v>
      </c>
      <c r="C20" s="47">
        <v>0</v>
      </c>
      <c r="D20" s="27" t="str">
        <f t="shared" si="0"/>
        <v>Canter 4T0</v>
      </c>
      <c r="E20" s="45">
        <f>'ZBC-Calculations'!F80</f>
        <v>7.5796864597487597</v>
      </c>
      <c r="F20" s="40">
        <f>'ZBC-Calculations'!F91</f>
        <v>16857.22268648124</v>
      </c>
      <c r="G20" s="40">
        <f>'ZBC-Calculations'!F102</f>
        <v>134857.78149184992</v>
      </c>
    </row>
    <row r="21" spans="2:9">
      <c r="B21" s="26" t="s">
        <v>773</v>
      </c>
      <c r="C21" s="47">
        <v>0.3</v>
      </c>
      <c r="D21" s="27" t="str">
        <f t="shared" si="0"/>
        <v>Canter 4T0.3</v>
      </c>
      <c r="E21" s="45">
        <f>'ZBC-Calculations'!F81</f>
        <v>6.4769382635137172</v>
      </c>
      <c r="F21" s="40">
        <f>'ZBC-Calculations'!F92</f>
        <v>14404.710698054507</v>
      </c>
      <c r="G21" s="40">
        <f>'ZBC-Calculations'!F103</f>
        <v>97952.032746770637</v>
      </c>
    </row>
    <row r="22" spans="2:9">
      <c r="B22" s="26" t="s">
        <v>773</v>
      </c>
      <c r="C22" s="47">
        <v>0.4</v>
      </c>
      <c r="D22" s="27" t="str">
        <f t="shared" si="0"/>
        <v>Canter 4T0.4</v>
      </c>
      <c r="E22" s="45">
        <f>'ZBC-Calculations'!F82</f>
        <v>6.1066728041626446</v>
      </c>
      <c r="F22" s="40">
        <f>'ZBC-Calculations'!F93</f>
        <v>13581.240316457721</v>
      </c>
      <c r="G22" s="40">
        <f>'ZBC-Calculations'!F104</f>
        <v>86919.938025329422</v>
      </c>
    </row>
    <row r="23" spans="2:9">
      <c r="B23" s="26" t="s">
        <v>773</v>
      </c>
      <c r="C23" s="47">
        <v>0.5</v>
      </c>
      <c r="D23" s="27" t="str">
        <f t="shared" si="0"/>
        <v>Canter 4T0.5</v>
      </c>
      <c r="E23" s="45">
        <f>'ZBC-Calculations'!F83</f>
        <v>5.7350659811752056</v>
      </c>
      <c r="F23" s="40">
        <f>'ZBC-Calculations'!F94</f>
        <v>12754.786742133658</v>
      </c>
      <c r="G23" s="40">
        <f>'ZBC-Calculations'!F105</f>
        <v>76528.72045280195</v>
      </c>
    </row>
    <row r="24" spans="2:9">
      <c r="B24" s="26" t="s">
        <v>773</v>
      </c>
      <c r="C24" s="47">
        <v>0.6</v>
      </c>
      <c r="D24" s="27" t="str">
        <f t="shared" si="0"/>
        <v>Canter 4T0.6</v>
      </c>
      <c r="E24" s="45">
        <f>'ZBC-Calculations'!F84</f>
        <v>5.3621177945514038</v>
      </c>
      <c r="F24" s="40">
        <f>'ZBC-Calculations'!F95</f>
        <v>11925.349975082321</v>
      </c>
      <c r="G24" s="40">
        <f>'ZBC-Calculations'!F106</f>
        <v>66781.959860460993</v>
      </c>
      <c r="I24" s="1" t="s">
        <v>776</v>
      </c>
    </row>
    <row r="25" spans="2:9">
      <c r="B25" s="26" t="s">
        <v>773</v>
      </c>
      <c r="C25" s="47">
        <v>0.8</v>
      </c>
      <c r="D25" s="27" t="str">
        <f t="shared" si="0"/>
        <v>Canter 4T0.8</v>
      </c>
      <c r="E25" s="45">
        <f>'ZBC-Calculations'!F85</f>
        <v>4.6121973303947099</v>
      </c>
      <c r="F25" s="40">
        <f>'ZBC-Calculations'!F96</f>
        <v>10257.526862797835</v>
      </c>
      <c r="G25" s="40">
        <f>'ZBC-Calculations'!F107</f>
        <v>49236.128941429604</v>
      </c>
    </row>
    <row r="26" spans="2:9">
      <c r="B26" s="26" t="s">
        <v>773</v>
      </c>
      <c r="C26" s="47">
        <v>1</v>
      </c>
      <c r="D26" s="27" t="str">
        <f t="shared" si="0"/>
        <v>Canter 4T1</v>
      </c>
      <c r="E26" s="45">
        <f>'ZBC-Calculations'!F86</f>
        <v>3.8569114116925616</v>
      </c>
      <c r="F26" s="40">
        <f>'ZBC-Calculations'!F97</f>
        <v>8577.7709796042564</v>
      </c>
      <c r="G26" s="40">
        <f>'ZBC-Calculations'!F108</f>
        <v>34311.083918417025</v>
      </c>
    </row>
    <row r="27" spans="2:9">
      <c r="B27" s="26" t="s">
        <v>777</v>
      </c>
      <c r="C27" s="47">
        <v>0</v>
      </c>
      <c r="D27" s="27" t="str">
        <f t="shared" si="0"/>
        <v>Canter 6.5T0</v>
      </c>
      <c r="E27" s="45">
        <f>'ZBC-Calculations'!G80</f>
        <v>4.3954048474724763</v>
      </c>
      <c r="F27" s="40">
        <f>'ZBC-Calculations'!G91</f>
        <v>9775.3803807787881</v>
      </c>
      <c r="G27" s="40">
        <f>'ZBC-Calculations'!G102</f>
        <v>145653.16767360395</v>
      </c>
    </row>
    <row r="28" spans="2:9">
      <c r="B28" s="26" t="s">
        <v>777</v>
      </c>
      <c r="C28" s="47">
        <v>0.3</v>
      </c>
      <c r="D28" s="27" t="str">
        <f t="shared" si="0"/>
        <v>Canter 6.5T0.3</v>
      </c>
      <c r="E28" s="45">
        <f>'ZBC-Calculations'!G81</f>
        <v>3.7585402053627912</v>
      </c>
      <c r="F28" s="40">
        <f>'ZBC-Calculations'!G92</f>
        <v>8358.9934167268475</v>
      </c>
      <c r="G28" s="40">
        <f>'ZBC-Calculations'!G103</f>
        <v>105866.65162284551</v>
      </c>
    </row>
    <row r="29" spans="2:9">
      <c r="B29" s="26" t="s">
        <v>777</v>
      </c>
      <c r="C29" s="47">
        <v>0.4</v>
      </c>
      <c r="D29" s="27" t="str">
        <f t="shared" si="0"/>
        <v>Canter 6.5T0.4</v>
      </c>
      <c r="E29" s="45">
        <f>'ZBC-Calculations'!G82</f>
        <v>3.54449151407045</v>
      </c>
      <c r="F29" s="40">
        <f>'ZBC-Calculations'!G93</f>
        <v>7882.9491272926807</v>
      </c>
      <c r="G29" s="40">
        <f>'ZBC-Calculations'!G104</f>
        <v>93964.753597328774</v>
      </c>
    </row>
    <row r="30" spans="2:9">
      <c r="B30" s="26" t="s">
        <v>777</v>
      </c>
      <c r="C30" s="47">
        <v>0.5</v>
      </c>
      <c r="D30" s="27" t="str">
        <f t="shared" si="0"/>
        <v>Canter 6.5T0.5</v>
      </c>
      <c r="E30" s="45">
        <f>'ZBC-Calculations'!G83</f>
        <v>3.3295625841502186</v>
      </c>
      <c r="F30" s="40">
        <f>'ZBC-Calculations'!G94</f>
        <v>7404.9471871500864</v>
      </c>
      <c r="G30" s="40">
        <f>'ZBC-Calculations'!G105</f>
        <v>82750.284816402214</v>
      </c>
    </row>
    <row r="31" spans="2:9">
      <c r="B31" s="26" t="s">
        <v>777</v>
      </c>
      <c r="C31" s="47">
        <v>0.6</v>
      </c>
      <c r="D31" s="27" t="str">
        <f t="shared" si="0"/>
        <v>Canter 6.5T0.6</v>
      </c>
      <c r="E31" s="45">
        <f>'ZBC-Calculations'!G84</f>
        <v>3.1137534156020981</v>
      </c>
      <c r="F31" s="40">
        <f>'ZBC-Calculations'!G95</f>
        <v>6924.9875962990664</v>
      </c>
      <c r="G31" s="40">
        <f>'ZBC-Calculations'!G106</f>
        <v>72227.620629399258</v>
      </c>
    </row>
    <row r="32" spans="2:9">
      <c r="B32" s="26" t="s">
        <v>777</v>
      </c>
      <c r="C32" s="47">
        <v>0.8</v>
      </c>
      <c r="D32" s="27" t="str">
        <f t="shared" si="0"/>
        <v>Canter 6.5T0.8</v>
      </c>
      <c r="E32" s="45">
        <f>'ZBC-Calculations'!G85</f>
        <v>2.6794943626221883</v>
      </c>
      <c r="F32" s="40">
        <f>'ZBC-Calculations'!G96</f>
        <v>5959.1954624717464</v>
      </c>
      <c r="G32" s="40">
        <f>'ZBC-Calculations'!G107</f>
        <v>53275.20743449741</v>
      </c>
    </row>
    <row r="33" spans="2:7">
      <c r="B33" s="26" t="s">
        <v>777</v>
      </c>
      <c r="C33" s="47">
        <v>1</v>
      </c>
      <c r="D33" s="27" t="str">
        <f t="shared" si="0"/>
        <v>Canter 6.5T1</v>
      </c>
      <c r="E33" s="45">
        <f>'ZBC-Calculations'!G86</f>
        <v>2.2417143551307199</v>
      </c>
      <c r="F33" s="40">
        <f>'ZBC-Calculations'!G97</f>
        <v>4985.5727258107208</v>
      </c>
      <c r="G33" s="40">
        <f>'ZBC-Calculations'!G108</f>
        <v>37142.516807289874</v>
      </c>
    </row>
    <row r="34" spans="2:7">
      <c r="B34" s="26" t="s">
        <v>778</v>
      </c>
      <c r="C34" s="47">
        <v>0</v>
      </c>
      <c r="D34" s="27" t="str">
        <f t="shared" si="0"/>
        <v>Canter 8.5T0</v>
      </c>
      <c r="E34" s="45">
        <f>'ZBC-Calculations'!H80</f>
        <v>4.2450403116822244</v>
      </c>
      <c r="F34" s="40">
        <f>'ZBC-Calculations'!H91</f>
        <v>9440.9696531812679</v>
      </c>
      <c r="G34" s="40">
        <f>'ZBC-Calculations'!H102</f>
        <v>160496.48410408155</v>
      </c>
    </row>
    <row r="35" spans="2:7">
      <c r="B35" s="26" t="s">
        <v>778</v>
      </c>
      <c r="C35" s="47">
        <v>0.3</v>
      </c>
      <c r="D35" s="27" t="str">
        <f t="shared" si="0"/>
        <v>Canter 8.5T0.3</v>
      </c>
      <c r="E35" s="45">
        <f>'ZBC-Calculations'!H81</f>
        <v>3.6525492649298905</v>
      </c>
      <c r="F35" s="40">
        <f>'ZBC-Calculations'!H92</f>
        <v>8123.2695652040766</v>
      </c>
      <c r="G35" s="40">
        <f>'ZBC-Calculations'!H103</f>
        <v>117381.24521719891</v>
      </c>
    </row>
    <row r="36" spans="2:7">
      <c r="B36" s="26" t="s">
        <v>778</v>
      </c>
      <c r="C36" s="47">
        <v>0.4</v>
      </c>
      <c r="D36" s="27" t="str">
        <f t="shared" si="0"/>
        <v>Canter 8.5T0.4</v>
      </c>
      <c r="E36" s="45">
        <f>'ZBC-Calculations'!H82</f>
        <v>3.4515804846398974</v>
      </c>
      <c r="F36" s="40">
        <f>'ZBC-Calculations'!H93</f>
        <v>7676.314997839132</v>
      </c>
      <c r="G36" s="40">
        <f>'ZBC-Calculations'!H104</f>
        <v>104397.88397061219</v>
      </c>
    </row>
    <row r="37" spans="2:7">
      <c r="B37" s="26" t="s">
        <v>778</v>
      </c>
      <c r="C37" s="47">
        <v>0.5</v>
      </c>
      <c r="D37" s="27" t="str">
        <f t="shared" si="0"/>
        <v>Canter 8.5T0.5</v>
      </c>
      <c r="E37" s="45">
        <f>'ZBC-Calculations'!H83</f>
        <v>3.248875821996962</v>
      </c>
      <c r="F37" s="40">
        <f>'ZBC-Calculations'!H94</f>
        <v>7225.4998281212438</v>
      </c>
      <c r="G37" s="40">
        <f>'ZBC-Calculations'!H105</f>
        <v>92125.122808545857</v>
      </c>
    </row>
    <row r="38" spans="2:7">
      <c r="B38" s="26" t="s">
        <v>778</v>
      </c>
      <c r="C38" s="47">
        <v>0.6</v>
      </c>
      <c r="D38" s="27" t="str">
        <f t="shared" si="0"/>
        <v>Canter 8.5T0.6</v>
      </c>
      <c r="E38" s="45">
        <f>'ZBC-Calculations'!H84</f>
        <v>3.0444352770010861</v>
      </c>
      <c r="F38" s="40">
        <f>'ZBC-Calculations'!H95</f>
        <v>6770.8240560504155</v>
      </c>
      <c r="G38" s="40">
        <f>'ZBC-Calculations'!H106</f>
        <v>80572.806266999934</v>
      </c>
    </row>
    <row r="39" spans="2:7">
      <c r="B39" s="26" t="s">
        <v>778</v>
      </c>
      <c r="C39" s="47">
        <v>0.8</v>
      </c>
      <c r="D39" s="27" t="str">
        <f t="shared" si="0"/>
        <v>Canter 8.5T0.8</v>
      </c>
      <c r="E39" s="45">
        <f>'ZBC-Calculations'!H85</f>
        <v>2.6303465399505108</v>
      </c>
      <c r="F39" s="40">
        <f>'ZBC-Calculations'!H96</f>
        <v>5849.8907048499359</v>
      </c>
      <c r="G39" s="40">
        <f>'ZBC-Calculations'!H107</f>
        <v>59668.885189469343</v>
      </c>
    </row>
    <row r="40" spans="2:7">
      <c r="B40" s="26" t="s">
        <v>778</v>
      </c>
      <c r="C40" s="47">
        <v>1</v>
      </c>
      <c r="D40" s="27" t="str">
        <f t="shared" si="0"/>
        <v>Canter 8.5T1</v>
      </c>
      <c r="E40" s="45">
        <f>'ZBC-Calculations'!H86</f>
        <v>2.2093142734881712</v>
      </c>
      <c r="F40" s="40">
        <f>'ZBC-Calculations'!H97</f>
        <v>4913.5149442376924</v>
      </c>
      <c r="G40" s="40">
        <f>'ZBC-Calculations'!H108</f>
        <v>41764.877026020382</v>
      </c>
    </row>
    <row r="41" spans="2:7">
      <c r="B41" s="26" t="s">
        <v>779</v>
      </c>
      <c r="C41" s="47">
        <v>0</v>
      </c>
      <c r="D41" s="27" t="str">
        <f t="shared" si="0"/>
        <v>Truck 9T0</v>
      </c>
      <c r="E41" s="45">
        <f>'ZBC-Calculations'!I80</f>
        <v>4.4280148157363994</v>
      </c>
      <c r="F41" s="40">
        <f>'ZBC-Calculations'!I91</f>
        <v>9847.9049501977515</v>
      </c>
      <c r="G41" s="40">
        <f>'ZBC-Calculations'!I102</f>
        <v>210745.16593423186</v>
      </c>
    </row>
    <row r="42" spans="2:7">
      <c r="B42" s="26" t="s">
        <v>779</v>
      </c>
      <c r="C42" s="47">
        <v>0.3</v>
      </c>
      <c r="D42" s="27" t="str">
        <f t="shared" si="0"/>
        <v>Truck 9T0.3</v>
      </c>
      <c r="E42" s="45">
        <f>'ZBC-Calculations'!I81</f>
        <v>3.8106976401049115</v>
      </c>
      <c r="F42" s="40">
        <f>'ZBC-Calculations'!I92</f>
        <v>8474.9915515933226</v>
      </c>
      <c r="G42" s="40">
        <f>'ZBC-Calculations'!I103</f>
        <v>154160.09632348252</v>
      </c>
    </row>
    <row r="43" spans="2:7">
      <c r="B43" s="26" t="s">
        <v>779</v>
      </c>
      <c r="C43" s="47">
        <v>0.4</v>
      </c>
      <c r="D43" s="27" t="str">
        <f t="shared" si="0"/>
        <v>Truck 9T0.4</v>
      </c>
      <c r="E43" s="45">
        <f>'ZBC-Calculations'!I82</f>
        <v>3.601247989660771</v>
      </c>
      <c r="F43" s="40">
        <f>'ZBC-Calculations'!I93</f>
        <v>8009.1755290055544</v>
      </c>
      <c r="G43" s="40">
        <f>'ZBC-Calculations'!I104</f>
        <v>137117.0850565751</v>
      </c>
    </row>
    <row r="44" spans="2:7">
      <c r="B44" s="26" t="s">
        <v>779</v>
      </c>
      <c r="C44" s="47">
        <v>0.5</v>
      </c>
      <c r="D44" s="27" t="str">
        <f t="shared" si="0"/>
        <v>Truck 9T0.5</v>
      </c>
      <c r="E44" s="45">
        <f>'ZBC-Calculations'!I83</f>
        <v>3.3899597099331409</v>
      </c>
      <c r="F44" s="40">
        <f>'ZBC-Calculations'!I94</f>
        <v>7539.2703948913049</v>
      </c>
      <c r="G44" s="40">
        <f>'ZBC-Calculations'!I105</f>
        <v>121005.28983800544</v>
      </c>
    </row>
    <row r="45" spans="2:7">
      <c r="B45" s="26" t="s">
        <v>779</v>
      </c>
      <c r="C45" s="47">
        <v>0.6</v>
      </c>
      <c r="D45" s="27" t="str">
        <f t="shared" si="0"/>
        <v>Truck 9T0.6</v>
      </c>
      <c r="E45" s="45">
        <f>'ZBC-Calculations'!I84</f>
        <v>3.1768328009220217</v>
      </c>
      <c r="F45" s="40">
        <f>'ZBC-Calculations'!I95</f>
        <v>7065.2761492505761</v>
      </c>
      <c r="G45" s="40">
        <f>'ZBC-Calculations'!I106</f>
        <v>105837.83671577362</v>
      </c>
    </row>
    <row r="46" spans="2:7">
      <c r="B46" s="26" t="s">
        <v>779</v>
      </c>
      <c r="C46" s="47">
        <v>0.8</v>
      </c>
      <c r="D46" s="27" t="str">
        <f t="shared" si="0"/>
        <v>Truck 9T0.8</v>
      </c>
      <c r="E46" s="45">
        <f>'ZBC-Calculations'!I85</f>
        <v>2.7450630950493164</v>
      </c>
      <c r="F46" s="40">
        <f>'ZBC-Calculations'!I96</f>
        <v>6105.02032338968</v>
      </c>
      <c r="G46" s="40">
        <f>'ZBC-Calculations'!I107</f>
        <v>78388.460952323483</v>
      </c>
    </row>
    <row r="47" spans="2:7">
      <c r="B47" s="26" t="s">
        <v>779</v>
      </c>
      <c r="C47" s="47">
        <v>1</v>
      </c>
      <c r="D47" s="27" t="str">
        <f t="shared" si="0"/>
        <v>Truck 9T1</v>
      </c>
      <c r="E47" s="45">
        <f>'ZBC-Calculations'!I86</f>
        <v>2.3059388720426548</v>
      </c>
      <c r="F47" s="40">
        <f>'ZBC-Calculations'!I97</f>
        <v>5128.4080514228644</v>
      </c>
      <c r="G47" s="40">
        <f>'ZBC-Calculations'!I108</f>
        <v>54873.966150224645</v>
      </c>
    </row>
    <row r="48" spans="2:7">
      <c r="B48" s="26" t="s">
        <v>774</v>
      </c>
      <c r="C48" s="47">
        <v>0</v>
      </c>
      <c r="D48" s="27" t="str">
        <f t="shared" si="0"/>
        <v>Container 14T0</v>
      </c>
      <c r="E48" s="45">
        <f>'ZBC-Calculations'!J80</f>
        <v>2.3669732080488122</v>
      </c>
      <c r="F48" s="40">
        <f>'ZBC-Calculations'!J91</f>
        <v>5264.1484147005585</v>
      </c>
      <c r="G48" s="40">
        <f>'ZBC-Calculations'!J102</f>
        <v>147396.15561161563</v>
      </c>
    </row>
    <row r="49" spans="2:7">
      <c r="B49" s="26" t="s">
        <v>774</v>
      </c>
      <c r="C49" s="47">
        <v>0.3</v>
      </c>
      <c r="D49" s="27" t="str">
        <f t="shared" si="0"/>
        <v>Container 14T0.3</v>
      </c>
      <c r="E49" s="45">
        <f>'ZBC-Calculations'!J81</f>
        <v>2.3895573917222812</v>
      </c>
      <c r="F49" s="40">
        <f>'ZBC-Calculations'!J92</f>
        <v>5314.3756391903535</v>
      </c>
      <c r="G49" s="40">
        <f>'ZBC-Calculations'!J103</f>
        <v>126482.14021273042</v>
      </c>
    </row>
    <row r="50" spans="2:7">
      <c r="B50" s="26" t="s">
        <v>774</v>
      </c>
      <c r="C50" s="47">
        <v>0.4</v>
      </c>
      <c r="D50" s="27" t="str">
        <f t="shared" si="0"/>
        <v>Container 14T0.4</v>
      </c>
      <c r="E50" s="45">
        <f>'ZBC-Calculations'!J82</f>
        <v>2.3970854529467713</v>
      </c>
      <c r="F50" s="40">
        <f>'ZBC-Calculations'!J93</f>
        <v>5331.1180473536197</v>
      </c>
      <c r="G50" s="40">
        <f>'ZBC-Calculations'!J104</f>
        <v>119417.04426072107</v>
      </c>
    </row>
    <row r="51" spans="2:7">
      <c r="B51" s="26" t="s">
        <v>774</v>
      </c>
      <c r="C51" s="47">
        <v>0.5</v>
      </c>
      <c r="D51" s="27" t="str">
        <f t="shared" si="0"/>
        <v>Container 14T0.5</v>
      </c>
      <c r="E51" s="45">
        <f>'ZBC-Calculations'!J83</f>
        <v>2.404613514171261</v>
      </c>
      <c r="F51" s="40">
        <f>'ZBC-Calculations'!J94</f>
        <v>5347.8604555168849</v>
      </c>
      <c r="G51" s="40">
        <f>'ZBC-Calculations'!J105</f>
        <v>112305.06956585457</v>
      </c>
    </row>
    <row r="52" spans="2:7">
      <c r="B52" s="26" t="s">
        <v>774</v>
      </c>
      <c r="C52" s="47">
        <v>0.6</v>
      </c>
      <c r="D52" s="27" t="str">
        <f t="shared" si="0"/>
        <v>Container 14T0.6</v>
      </c>
      <c r="E52" s="45">
        <f>'ZBC-Calculations'!J84</f>
        <v>2.4121415753957507</v>
      </c>
      <c r="F52" s="40">
        <f>'ZBC-Calculations'!J95</f>
        <v>5364.6028636801493</v>
      </c>
      <c r="G52" s="40">
        <f>'ZBC-Calculations'!J106</f>
        <v>105146.21612813091</v>
      </c>
    </row>
    <row r="53" spans="2:7">
      <c r="B53" s="26" t="s">
        <v>774</v>
      </c>
      <c r="C53" s="47">
        <v>0.8</v>
      </c>
      <c r="D53" s="27" t="str">
        <f t="shared" si="0"/>
        <v>Container 14T0.8</v>
      </c>
      <c r="E53" s="45">
        <f>'ZBC-Calculations'!J85</f>
        <v>2.4271976978447305</v>
      </c>
      <c r="F53" s="40">
        <f>'ZBC-Calculations'!J96</f>
        <v>5398.0876800066808</v>
      </c>
      <c r="G53" s="40">
        <f>'ZBC-Calculations'!J107</f>
        <v>90687.873024112225</v>
      </c>
    </row>
    <row r="54" spans="2:7">
      <c r="B54" s="26" t="s">
        <v>774</v>
      </c>
      <c r="C54" s="47">
        <v>1</v>
      </c>
      <c r="D54" s="27" t="str">
        <f t="shared" si="0"/>
        <v>Container 14T1</v>
      </c>
      <c r="E54" s="45">
        <f>'ZBC-Calculations'!J86</f>
        <v>2.4422538202937099</v>
      </c>
      <c r="F54" s="40">
        <f>'ZBC-Calculations'!J97</f>
        <v>5431.5724963332104</v>
      </c>
      <c r="G54" s="40">
        <f>'ZBC-Calculations'!J108</f>
        <v>76042.014948664946</v>
      </c>
    </row>
    <row r="55" spans="2:7">
      <c r="B55" s="26" t="s">
        <v>775</v>
      </c>
      <c r="C55" s="47">
        <v>0</v>
      </c>
      <c r="D55" s="27" t="str">
        <f t="shared" ref="D55:D68" si="1">CONCATENATE(B55,C55)</f>
        <v>Turbo 15T0</v>
      </c>
      <c r="E55" s="45">
        <f>'ZBC-Calculations'!K80</f>
        <v>3.9911495650182593</v>
      </c>
      <c r="F55" s="40">
        <f>'ZBC-Calculations'!K91</f>
        <v>8876.3166326006085</v>
      </c>
      <c r="G55" s="40">
        <f>'ZBC-Calculations'!K102</f>
        <v>266289.49897801824</v>
      </c>
    </row>
    <row r="56" spans="2:7">
      <c r="B56" s="26" t="s">
        <v>775</v>
      </c>
      <c r="C56" s="47">
        <v>0.3</v>
      </c>
      <c r="D56" s="27" t="str">
        <f t="shared" si="1"/>
        <v>Turbo 15T0.3</v>
      </c>
      <c r="E56" s="45">
        <f>'ZBC-Calculations'!K81</f>
        <v>3.4426441302655202</v>
      </c>
      <c r="F56" s="40">
        <f>'ZBC-Calculations'!K92</f>
        <v>7656.4405457105167</v>
      </c>
      <c r="G56" s="40">
        <f>'ZBC-Calculations'!K103</f>
        <v>195239.23391561816</v>
      </c>
    </row>
    <row r="57" spans="2:7">
      <c r="B57" s="26" t="s">
        <v>775</v>
      </c>
      <c r="C57" s="47">
        <v>0.4</v>
      </c>
      <c r="D57" s="27" t="str">
        <f t="shared" si="1"/>
        <v>Turbo 15T0.4</v>
      </c>
      <c r="E57" s="45">
        <f>'ZBC-Calculations'!K82</f>
        <v>3.2558743186812742</v>
      </c>
      <c r="F57" s="40">
        <f>'ZBC-Calculations'!K93</f>
        <v>7241.064484747154</v>
      </c>
      <c r="G57" s="40">
        <f>'ZBC-Calculations'!K104</f>
        <v>173785.54763393171</v>
      </c>
    </row>
    <row r="58" spans="2:7">
      <c r="B58" s="26" t="s">
        <v>775</v>
      </c>
      <c r="C58" s="47">
        <v>0.5</v>
      </c>
      <c r="D58" s="27" t="str">
        <f t="shared" si="1"/>
        <v>Turbo 15T0.5</v>
      </c>
      <c r="E58" s="45">
        <f>'ZBC-Calculations'!K83</f>
        <v>3.0671371737636948</v>
      </c>
      <c r="F58" s="40">
        <f>'ZBC-Calculations'!K94</f>
        <v>6821.313074450457</v>
      </c>
      <c r="G58" s="40">
        <f>'ZBC-Calculations'!K105</f>
        <v>153479.54417513529</v>
      </c>
    </row>
    <row r="59" spans="2:7">
      <c r="B59" s="26" t="s">
        <v>775</v>
      </c>
      <c r="C59" s="47">
        <v>0.6</v>
      </c>
      <c r="D59" s="27" t="str">
        <f t="shared" si="1"/>
        <v>Turbo 15T0.6</v>
      </c>
      <c r="E59" s="45">
        <f>'ZBC-Calculations'!K84</f>
        <v>2.8764326955127815</v>
      </c>
      <c r="F59" s="40">
        <f>'ZBC-Calculations'!K95</f>
        <v>6397.1863148204257</v>
      </c>
      <c r="G59" s="40">
        <f>'ZBC-Calculations'!K106</f>
        <v>134340.91261122894</v>
      </c>
    </row>
    <row r="60" spans="2:7">
      <c r="B60" s="26" t="s">
        <v>775</v>
      </c>
      <c r="C60" s="47">
        <v>0.8</v>
      </c>
      <c r="D60" s="27" t="str">
        <f t="shared" si="1"/>
        <v>Turbo 15T0.8</v>
      </c>
      <c r="E60" s="45">
        <f>'ZBC-Calculations'!K85</f>
        <v>2.4891217390109555</v>
      </c>
      <c r="F60" s="40">
        <f>'ZBC-Calculations'!K96</f>
        <v>5535.8067475603648</v>
      </c>
      <c r="G60" s="40">
        <f>'ZBC-Calculations'!K107</f>
        <v>99644.521456086557</v>
      </c>
    </row>
    <row r="61" spans="2:7">
      <c r="B61" s="26" t="s">
        <v>775</v>
      </c>
      <c r="C61" s="47">
        <v>1</v>
      </c>
      <c r="D61" s="27" t="str">
        <f t="shared" si="1"/>
        <v>Turbo 15T1</v>
      </c>
      <c r="E61" s="45">
        <f>'ZBC-Calculations'!K86</f>
        <v>2.0939414491757966</v>
      </c>
      <c r="F61" s="40">
        <f>'ZBC-Calculations'!K97</f>
        <v>4656.9257829669714</v>
      </c>
      <c r="G61" s="40">
        <f>'ZBC-Calculations'!K108</f>
        <v>69853.886744504576</v>
      </c>
    </row>
    <row r="62" spans="2:7">
      <c r="B62" s="26" t="s">
        <v>776</v>
      </c>
      <c r="C62" s="47">
        <v>0</v>
      </c>
      <c r="D62" s="27" t="str">
        <f t="shared" si="1"/>
        <v>Tata 0.7T0</v>
      </c>
      <c r="E62" s="45" t="e">
        <f>'ZBC-Calculations'!L80</f>
        <v>#DIV/0!</v>
      </c>
      <c r="F62" s="40" t="e">
        <f>'ZBC-Calculations'!L91</f>
        <v>#DIV/0!</v>
      </c>
      <c r="G62" s="40" t="e">
        <f>'ZBC-Calculations'!L102</f>
        <v>#DIV/0!</v>
      </c>
    </row>
    <row r="63" spans="2:7">
      <c r="B63" s="26" t="s">
        <v>776</v>
      </c>
      <c r="C63" s="47">
        <v>0.3</v>
      </c>
      <c r="D63" s="27" t="str">
        <f t="shared" si="1"/>
        <v>Tata 0.7T0.3</v>
      </c>
      <c r="E63" s="45" t="e">
        <f>'ZBC-Calculations'!L81</f>
        <v>#DIV/0!</v>
      </c>
      <c r="F63" s="40" t="e">
        <f>'ZBC-Calculations'!L92</f>
        <v>#DIV/0!</v>
      </c>
      <c r="G63" s="40" t="e">
        <f>'ZBC-Calculations'!L103</f>
        <v>#DIV/0!</v>
      </c>
    </row>
    <row r="64" spans="2:7">
      <c r="B64" s="26" t="s">
        <v>776</v>
      </c>
      <c r="C64" s="47">
        <v>0.4</v>
      </c>
      <c r="D64" s="27" t="str">
        <f t="shared" si="1"/>
        <v>Tata 0.7T0.4</v>
      </c>
      <c r="E64" s="45" t="e">
        <f>'ZBC-Calculations'!L82</f>
        <v>#DIV/0!</v>
      </c>
      <c r="F64" s="40" t="e">
        <f>'ZBC-Calculations'!L93</f>
        <v>#DIV/0!</v>
      </c>
      <c r="G64" s="40" t="e">
        <f>'ZBC-Calculations'!L104</f>
        <v>#DIV/0!</v>
      </c>
    </row>
    <row r="65" spans="2:7">
      <c r="B65" s="26" t="s">
        <v>776</v>
      </c>
      <c r="C65" s="47">
        <v>0.5</v>
      </c>
      <c r="D65" s="27" t="str">
        <f t="shared" si="1"/>
        <v>Tata 0.7T0.5</v>
      </c>
      <c r="E65" s="45" t="e">
        <f>'ZBC-Calculations'!L83</f>
        <v>#DIV/0!</v>
      </c>
      <c r="F65" s="40" t="e">
        <f>'ZBC-Calculations'!L94</f>
        <v>#DIV/0!</v>
      </c>
      <c r="G65" s="40" t="e">
        <f>'ZBC-Calculations'!L105</f>
        <v>#DIV/0!</v>
      </c>
    </row>
    <row r="66" spans="2:7">
      <c r="B66" s="26" t="s">
        <v>776</v>
      </c>
      <c r="C66" s="47">
        <v>0.6</v>
      </c>
      <c r="D66" s="27" t="str">
        <f t="shared" si="1"/>
        <v>Tata 0.7T0.6</v>
      </c>
      <c r="E66" s="45" t="e">
        <f>'ZBC-Calculations'!L84</f>
        <v>#DIV/0!</v>
      </c>
      <c r="F66" s="40" t="e">
        <f>'ZBC-Calculations'!L95</f>
        <v>#DIV/0!</v>
      </c>
      <c r="G66" s="40" t="e">
        <f>'ZBC-Calculations'!L106</f>
        <v>#DIV/0!</v>
      </c>
    </row>
    <row r="67" spans="2:7">
      <c r="B67" s="26" t="s">
        <v>776</v>
      </c>
      <c r="C67" s="47">
        <v>0.8</v>
      </c>
      <c r="D67" s="27" t="str">
        <f t="shared" si="1"/>
        <v>Tata 0.7T0.8</v>
      </c>
      <c r="E67" s="45" t="e">
        <f>'ZBC-Calculations'!L85</f>
        <v>#DIV/0!</v>
      </c>
      <c r="F67" s="40" t="e">
        <f>'ZBC-Calculations'!L96</f>
        <v>#DIV/0!</v>
      </c>
      <c r="G67" s="40" t="e">
        <f>'ZBC-Calculations'!L107</f>
        <v>#DIV/0!</v>
      </c>
    </row>
    <row r="68" spans="2:7">
      <c r="B68" s="26" t="s">
        <v>776</v>
      </c>
      <c r="C68" s="47">
        <v>1</v>
      </c>
      <c r="D68" s="27" t="str">
        <f t="shared" si="1"/>
        <v>Tata 0.7T1</v>
      </c>
      <c r="E68" s="45" t="e">
        <f>'ZBC-Calculations'!L86</f>
        <v>#DIV/0!</v>
      </c>
      <c r="F68" s="40" t="e">
        <f>'ZBC-Calculations'!L97</f>
        <v>#DIV/0!</v>
      </c>
      <c r="G68" s="40" t="e">
        <f>'ZBC-Calculations'!L108</f>
        <v>#DIV/0!</v>
      </c>
    </row>
  </sheetData>
  <mergeCells count="2">
    <mergeCell ref="B4:G4"/>
    <mergeCell ref="A2:G2"/>
  </mergeCells>
  <hyperlinks>
    <hyperlink ref="B1" location="'ZBC-Calculations'!A1" display="Previous" xr:uid="{00000000-0004-0000-0500-000000000000}"/>
    <hyperlink ref="G1" location="'ZBC-Main Page'!A1" display="Main-Page" xr:uid="{00000000-0004-0000-0500-000001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RS3"/>
  <sheetViews>
    <sheetView zoomScale="70" zoomScaleNormal="70" workbookViewId="0"/>
  </sheetViews>
  <sheetFormatPr defaultRowHeight="13.7"/>
  <cols>
    <col min="1" max="1" width="14.80859375" customWidth="1"/>
  </cols>
  <sheetData>
    <row r="2" spans="1:487">
      <c r="B2" s="4" t="s">
        <v>277</v>
      </c>
      <c r="C2" s="4" t="s">
        <v>278</v>
      </c>
      <c r="D2" s="4" t="s">
        <v>279</v>
      </c>
      <c r="E2" s="4" t="s">
        <v>280</v>
      </c>
      <c r="F2" s="4" t="s">
        <v>281</v>
      </c>
      <c r="G2" s="4" t="s">
        <v>282</v>
      </c>
      <c r="H2" s="4" t="s">
        <v>283</v>
      </c>
      <c r="I2" s="4" t="s">
        <v>284</v>
      </c>
      <c r="J2" s="4" t="s">
        <v>285</v>
      </c>
      <c r="K2" s="4" t="s">
        <v>286</v>
      </c>
      <c r="L2" s="4" t="s">
        <v>287</v>
      </c>
      <c r="M2" s="4" t="s">
        <v>288</v>
      </c>
      <c r="N2" s="4" t="s">
        <v>289</v>
      </c>
      <c r="O2" s="4" t="s">
        <v>290</v>
      </c>
      <c r="P2" s="4" t="s">
        <v>291</v>
      </c>
      <c r="Q2" s="4" t="s">
        <v>292</v>
      </c>
      <c r="R2" s="4" t="s">
        <v>293</v>
      </c>
      <c r="S2" s="4" t="s">
        <v>294</v>
      </c>
      <c r="T2" s="4" t="s">
        <v>295</v>
      </c>
      <c r="U2" s="4" t="s">
        <v>296</v>
      </c>
      <c r="V2" s="4" t="s">
        <v>297</v>
      </c>
      <c r="W2" s="4" t="s">
        <v>298</v>
      </c>
      <c r="X2" s="4" t="s">
        <v>299</v>
      </c>
      <c r="Y2" s="4" t="s">
        <v>300</v>
      </c>
      <c r="Z2" s="4" t="s">
        <v>301</v>
      </c>
      <c r="AA2" s="4" t="s">
        <v>302</v>
      </c>
      <c r="AB2" s="4" t="s">
        <v>303</v>
      </c>
      <c r="AC2" s="4" t="s">
        <v>304</v>
      </c>
      <c r="AD2" s="4" t="s">
        <v>305</v>
      </c>
      <c r="AE2" s="4" t="s">
        <v>306</v>
      </c>
      <c r="AF2" s="4" t="s">
        <v>307</v>
      </c>
      <c r="AG2" s="4" t="s">
        <v>308</v>
      </c>
      <c r="AH2" s="4" t="s">
        <v>309</v>
      </c>
      <c r="AI2" s="4" t="s">
        <v>310</v>
      </c>
      <c r="AJ2" s="4" t="s">
        <v>311</v>
      </c>
      <c r="AK2" s="4" t="s">
        <v>312</v>
      </c>
      <c r="AL2" s="4" t="s">
        <v>313</v>
      </c>
      <c r="AM2" s="4" t="s">
        <v>314</v>
      </c>
      <c r="AN2" s="4" t="s">
        <v>315</v>
      </c>
      <c r="AO2" s="4" t="s">
        <v>316</v>
      </c>
      <c r="AP2" s="4" t="s">
        <v>317</v>
      </c>
      <c r="AQ2" s="4" t="s">
        <v>318</v>
      </c>
      <c r="AR2" s="4" t="s">
        <v>319</v>
      </c>
      <c r="AS2" s="4" t="s">
        <v>320</v>
      </c>
      <c r="AT2" s="4" t="s">
        <v>321</v>
      </c>
      <c r="AU2" s="4" t="s">
        <v>322</v>
      </c>
      <c r="AV2" s="4" t="s">
        <v>323</v>
      </c>
      <c r="AW2" s="4" t="s">
        <v>324</v>
      </c>
      <c r="AX2" s="4" t="s">
        <v>325</v>
      </c>
      <c r="AY2" s="4" t="s">
        <v>326</v>
      </c>
      <c r="AZ2" s="4" t="s">
        <v>327</v>
      </c>
      <c r="BA2" s="4" t="s">
        <v>328</v>
      </c>
      <c r="BB2" s="4" t="s">
        <v>329</v>
      </c>
      <c r="BC2" s="4" t="s">
        <v>330</v>
      </c>
      <c r="BD2" s="4" t="s">
        <v>331</v>
      </c>
      <c r="BE2" s="4" t="s">
        <v>332</v>
      </c>
      <c r="BF2" s="4" t="s">
        <v>333</v>
      </c>
      <c r="BG2" s="4" t="s">
        <v>334</v>
      </c>
      <c r="BH2" s="4" t="s">
        <v>335</v>
      </c>
      <c r="BI2" s="4" t="s">
        <v>336</v>
      </c>
      <c r="BJ2" s="4" t="s">
        <v>337</v>
      </c>
      <c r="BK2" s="4" t="s">
        <v>338</v>
      </c>
      <c r="BL2" s="4" t="s">
        <v>339</v>
      </c>
      <c r="BM2" s="4" t="s">
        <v>340</v>
      </c>
      <c r="BN2" s="4" t="s">
        <v>341</v>
      </c>
      <c r="BO2" s="4" t="s">
        <v>342</v>
      </c>
      <c r="BP2" s="4" t="s">
        <v>343</v>
      </c>
      <c r="BQ2" s="4" t="s">
        <v>344</v>
      </c>
      <c r="BR2" s="4" t="s">
        <v>345</v>
      </c>
      <c r="BS2" s="4" t="s">
        <v>346</v>
      </c>
      <c r="BT2" s="4" t="s">
        <v>347</v>
      </c>
      <c r="BU2" s="4" t="s">
        <v>348</v>
      </c>
      <c r="BV2" s="4" t="s">
        <v>349</v>
      </c>
      <c r="BW2" s="4" t="s">
        <v>350</v>
      </c>
      <c r="BX2" s="4" t="s">
        <v>351</v>
      </c>
      <c r="BY2" s="4" t="s">
        <v>352</v>
      </c>
      <c r="BZ2" s="4" t="s">
        <v>353</v>
      </c>
      <c r="CA2" s="4" t="s">
        <v>354</v>
      </c>
      <c r="CB2" s="4" t="s">
        <v>355</v>
      </c>
      <c r="CC2" s="4" t="s">
        <v>356</v>
      </c>
      <c r="CD2" s="4" t="s">
        <v>357</v>
      </c>
      <c r="CE2" s="4" t="s">
        <v>358</v>
      </c>
      <c r="CF2" s="4" t="s">
        <v>359</v>
      </c>
      <c r="CG2" s="4" t="s">
        <v>360</v>
      </c>
      <c r="CH2" s="4" t="s">
        <v>361</v>
      </c>
      <c r="CI2" s="4" t="s">
        <v>362</v>
      </c>
      <c r="CJ2" s="4" t="s">
        <v>363</v>
      </c>
      <c r="CK2" s="4" t="s">
        <v>364</v>
      </c>
      <c r="CL2" s="4" t="s">
        <v>365</v>
      </c>
      <c r="CM2" s="4" t="s">
        <v>366</v>
      </c>
      <c r="CN2" s="4" t="s">
        <v>367</v>
      </c>
      <c r="CO2" s="4" t="s">
        <v>368</v>
      </c>
      <c r="CP2" s="4" t="s">
        <v>369</v>
      </c>
      <c r="CQ2" s="4" t="s">
        <v>370</v>
      </c>
      <c r="CR2" s="4" t="s">
        <v>371</v>
      </c>
      <c r="CS2" s="4" t="s">
        <v>372</v>
      </c>
      <c r="CT2" s="4" t="s">
        <v>373</v>
      </c>
      <c r="CU2" s="4" t="s">
        <v>374</v>
      </c>
      <c r="CV2" s="4" t="s">
        <v>375</v>
      </c>
      <c r="CW2" s="4" t="s">
        <v>376</v>
      </c>
      <c r="CX2" s="4" t="s">
        <v>377</v>
      </c>
      <c r="CY2" s="4" t="s">
        <v>378</v>
      </c>
      <c r="CZ2" s="4" t="s">
        <v>379</v>
      </c>
      <c r="DA2" s="4" t="s">
        <v>380</v>
      </c>
      <c r="DB2" s="4" t="s">
        <v>381</v>
      </c>
      <c r="DC2" s="4" t="s">
        <v>382</v>
      </c>
      <c r="DD2" s="4" t="s">
        <v>383</v>
      </c>
      <c r="DE2" s="4" t="s">
        <v>384</v>
      </c>
      <c r="DF2" s="4" t="s">
        <v>385</v>
      </c>
      <c r="DG2" s="4" t="s">
        <v>386</v>
      </c>
      <c r="DH2" s="4" t="s">
        <v>387</v>
      </c>
      <c r="DI2" s="4" t="s">
        <v>388</v>
      </c>
      <c r="DJ2" s="4" t="s">
        <v>389</v>
      </c>
      <c r="DK2" s="4" t="s">
        <v>390</v>
      </c>
      <c r="DL2" s="4" t="s">
        <v>391</v>
      </c>
      <c r="DM2" s="4" t="s">
        <v>392</v>
      </c>
      <c r="DN2" s="4" t="s">
        <v>393</v>
      </c>
      <c r="DO2" s="4" t="s">
        <v>394</v>
      </c>
      <c r="DP2" s="4" t="s">
        <v>395</v>
      </c>
      <c r="DQ2" s="4" t="s">
        <v>396</v>
      </c>
      <c r="DR2" s="4" t="s">
        <v>397</v>
      </c>
      <c r="DS2" s="4" t="s">
        <v>398</v>
      </c>
      <c r="DT2" s="4" t="s">
        <v>399</v>
      </c>
      <c r="DU2" s="4" t="s">
        <v>400</v>
      </c>
      <c r="DV2" s="4" t="s">
        <v>401</v>
      </c>
      <c r="DW2" s="4" t="s">
        <v>402</v>
      </c>
      <c r="DX2" s="4" t="s">
        <v>403</v>
      </c>
      <c r="DY2" s="4" t="s">
        <v>404</v>
      </c>
      <c r="DZ2" s="4" t="s">
        <v>405</v>
      </c>
      <c r="EA2" s="4" t="s">
        <v>406</v>
      </c>
      <c r="EB2" s="4" t="s">
        <v>407</v>
      </c>
      <c r="EC2" s="4" t="s">
        <v>408</v>
      </c>
      <c r="ED2" s="4" t="s">
        <v>409</v>
      </c>
      <c r="EE2" s="4" t="s">
        <v>410</v>
      </c>
      <c r="EF2" s="4" t="s">
        <v>411</v>
      </c>
      <c r="EG2" s="4" t="s">
        <v>412</v>
      </c>
      <c r="EH2" s="4" t="s">
        <v>413</v>
      </c>
      <c r="EI2" s="4" t="s">
        <v>414</v>
      </c>
      <c r="EJ2" s="4" t="s">
        <v>415</v>
      </c>
      <c r="EK2" s="4" t="s">
        <v>416</v>
      </c>
      <c r="EL2" s="4" t="s">
        <v>417</v>
      </c>
      <c r="EM2" s="4" t="s">
        <v>418</v>
      </c>
      <c r="EN2" s="4" t="s">
        <v>419</v>
      </c>
      <c r="EO2" s="4" t="s">
        <v>420</v>
      </c>
      <c r="EP2" s="4" t="s">
        <v>421</v>
      </c>
      <c r="EQ2" s="4" t="s">
        <v>422</v>
      </c>
      <c r="ER2" s="4" t="s">
        <v>423</v>
      </c>
      <c r="ES2" s="4" t="s">
        <v>424</v>
      </c>
      <c r="ET2" s="4" t="s">
        <v>425</v>
      </c>
      <c r="EU2" s="4" t="s">
        <v>426</v>
      </c>
      <c r="EV2" s="4" t="s">
        <v>427</v>
      </c>
      <c r="EW2" s="4" t="s">
        <v>428</v>
      </c>
      <c r="EX2" s="4" t="s">
        <v>429</v>
      </c>
      <c r="EY2" s="4" t="s">
        <v>430</v>
      </c>
      <c r="EZ2" s="4" t="s">
        <v>431</v>
      </c>
      <c r="FA2" s="4" t="s">
        <v>432</v>
      </c>
      <c r="FB2" s="4" t="s">
        <v>433</v>
      </c>
      <c r="FC2" s="4" t="s">
        <v>434</v>
      </c>
      <c r="FD2" s="4" t="s">
        <v>435</v>
      </c>
      <c r="FE2" s="4" t="s">
        <v>436</v>
      </c>
      <c r="FF2" s="4" t="s">
        <v>437</v>
      </c>
      <c r="FG2" s="4" t="s">
        <v>438</v>
      </c>
      <c r="FH2" s="4" t="s">
        <v>439</v>
      </c>
      <c r="FI2" s="4" t="s">
        <v>440</v>
      </c>
      <c r="FJ2" s="4" t="s">
        <v>441</v>
      </c>
      <c r="FK2" s="4" t="s">
        <v>442</v>
      </c>
      <c r="FL2" s="4" t="s">
        <v>443</v>
      </c>
      <c r="FM2" s="4" t="s">
        <v>444</v>
      </c>
      <c r="FN2" s="4" t="s">
        <v>445</v>
      </c>
      <c r="FO2" s="4" t="s">
        <v>446</v>
      </c>
      <c r="FP2" s="4" t="s">
        <v>447</v>
      </c>
      <c r="FQ2" s="4" t="s">
        <v>448</v>
      </c>
      <c r="FR2" s="4" t="s">
        <v>449</v>
      </c>
      <c r="FS2" s="4" t="s">
        <v>450</v>
      </c>
      <c r="FT2" s="4" t="s">
        <v>451</v>
      </c>
      <c r="FU2" s="4" t="s">
        <v>452</v>
      </c>
      <c r="FV2" s="4" t="s">
        <v>453</v>
      </c>
      <c r="FW2" s="4" t="s">
        <v>454</v>
      </c>
      <c r="FX2" s="4" t="s">
        <v>455</v>
      </c>
      <c r="FY2" s="4" t="s">
        <v>456</v>
      </c>
      <c r="FZ2" s="4" t="s">
        <v>457</v>
      </c>
      <c r="GA2" s="4" t="s">
        <v>458</v>
      </c>
      <c r="GB2" s="4" t="s">
        <v>459</v>
      </c>
      <c r="GC2" s="4" t="s">
        <v>460</v>
      </c>
      <c r="GD2" s="4" t="s">
        <v>461</v>
      </c>
      <c r="GE2" s="4" t="s">
        <v>462</v>
      </c>
      <c r="GF2" s="4" t="s">
        <v>463</v>
      </c>
      <c r="GG2" s="4" t="s">
        <v>464</v>
      </c>
      <c r="GH2" s="4" t="s">
        <v>465</v>
      </c>
      <c r="GI2" s="4" t="s">
        <v>466</v>
      </c>
      <c r="GJ2" s="4" t="s">
        <v>467</v>
      </c>
      <c r="GK2" s="4" t="s">
        <v>468</v>
      </c>
      <c r="GL2" s="4" t="s">
        <v>469</v>
      </c>
      <c r="GM2" s="4" t="s">
        <v>470</v>
      </c>
      <c r="GN2" s="4" t="s">
        <v>471</v>
      </c>
      <c r="GO2" s="4" t="s">
        <v>472</v>
      </c>
      <c r="GP2" s="4" t="s">
        <v>473</v>
      </c>
      <c r="GQ2" s="4" t="s">
        <v>474</v>
      </c>
      <c r="GR2" s="4" t="s">
        <v>475</v>
      </c>
      <c r="GS2" s="4" t="s">
        <v>476</v>
      </c>
      <c r="GT2" s="4" t="s">
        <v>477</v>
      </c>
      <c r="GU2" s="4" t="s">
        <v>478</v>
      </c>
      <c r="GV2" s="4" t="s">
        <v>479</v>
      </c>
      <c r="GW2" s="4" t="s">
        <v>480</v>
      </c>
      <c r="GX2" s="4" t="s">
        <v>481</v>
      </c>
      <c r="GY2" s="4" t="s">
        <v>482</v>
      </c>
      <c r="GZ2" s="4" t="s">
        <v>483</v>
      </c>
      <c r="HA2" s="4" t="s">
        <v>484</v>
      </c>
      <c r="HB2" s="4" t="s">
        <v>485</v>
      </c>
      <c r="HC2" s="4" t="s">
        <v>486</v>
      </c>
      <c r="HD2" s="4" t="s">
        <v>487</v>
      </c>
      <c r="HE2" s="4" t="s">
        <v>488</v>
      </c>
      <c r="HF2" s="4" t="s">
        <v>489</v>
      </c>
      <c r="HG2" s="4" t="s">
        <v>490</v>
      </c>
      <c r="HH2" s="4" t="s">
        <v>491</v>
      </c>
      <c r="HI2" s="4" t="s">
        <v>492</v>
      </c>
      <c r="HJ2" s="4" t="s">
        <v>493</v>
      </c>
      <c r="HK2" s="4" t="s">
        <v>494</v>
      </c>
      <c r="HL2" s="4" t="s">
        <v>495</v>
      </c>
      <c r="HM2" s="4" t="s">
        <v>496</v>
      </c>
      <c r="HN2" s="4" t="s">
        <v>497</v>
      </c>
      <c r="HO2" s="4" t="s">
        <v>498</v>
      </c>
      <c r="HP2" s="4" t="s">
        <v>499</v>
      </c>
      <c r="HQ2" s="4" t="s">
        <v>500</v>
      </c>
      <c r="HR2" s="4" t="s">
        <v>501</v>
      </c>
      <c r="HS2" s="4" t="s">
        <v>502</v>
      </c>
      <c r="HT2" s="4" t="s">
        <v>503</v>
      </c>
      <c r="HU2" s="4" t="s">
        <v>504</v>
      </c>
      <c r="HV2" s="4" t="s">
        <v>505</v>
      </c>
      <c r="HW2" s="4" t="s">
        <v>506</v>
      </c>
      <c r="HX2" s="4" t="s">
        <v>507</v>
      </c>
      <c r="HY2" s="4" t="s">
        <v>508</v>
      </c>
      <c r="HZ2" s="4" t="s">
        <v>509</v>
      </c>
      <c r="IA2" s="4" t="s">
        <v>510</v>
      </c>
      <c r="IB2" s="4" t="s">
        <v>511</v>
      </c>
      <c r="IC2" s="4" t="s">
        <v>512</v>
      </c>
      <c r="ID2" s="4" t="s">
        <v>513</v>
      </c>
      <c r="IE2" s="4" t="s">
        <v>514</v>
      </c>
      <c r="IF2" s="4" t="s">
        <v>515</v>
      </c>
      <c r="IG2" s="4" t="s">
        <v>516</v>
      </c>
      <c r="IH2" s="4" t="s">
        <v>517</v>
      </c>
      <c r="II2" s="4" t="s">
        <v>518</v>
      </c>
      <c r="IJ2" s="4" t="s">
        <v>519</v>
      </c>
      <c r="IK2" s="4" t="s">
        <v>520</v>
      </c>
      <c r="IL2" s="4" t="s">
        <v>521</v>
      </c>
      <c r="IM2" s="4" t="s">
        <v>522</v>
      </c>
      <c r="IN2" s="4" t="s">
        <v>523</v>
      </c>
      <c r="IO2" s="4" t="s">
        <v>524</v>
      </c>
      <c r="IP2" s="4" t="s">
        <v>525</v>
      </c>
      <c r="IQ2" s="4" t="s">
        <v>526</v>
      </c>
      <c r="IR2" s="4" t="s">
        <v>527</v>
      </c>
      <c r="IS2" s="4" t="s">
        <v>528</v>
      </c>
      <c r="IT2" s="4" t="s">
        <v>529</v>
      </c>
      <c r="IU2" s="4" t="s">
        <v>530</v>
      </c>
      <c r="IV2" s="4" t="s">
        <v>531</v>
      </c>
      <c r="IW2" s="4" t="s">
        <v>532</v>
      </c>
      <c r="IX2" s="4" t="s">
        <v>533</v>
      </c>
      <c r="IY2" s="4" t="s">
        <v>534</v>
      </c>
      <c r="IZ2" s="4" t="s">
        <v>535</v>
      </c>
      <c r="JA2" s="4" t="s">
        <v>536</v>
      </c>
      <c r="JB2" s="4" t="s">
        <v>537</v>
      </c>
      <c r="JC2" s="4" t="s">
        <v>538</v>
      </c>
      <c r="JD2" s="4" t="s">
        <v>539</v>
      </c>
      <c r="JE2" s="4" t="s">
        <v>540</v>
      </c>
      <c r="JF2" s="4" t="s">
        <v>541</v>
      </c>
      <c r="JG2" s="4" t="s">
        <v>542</v>
      </c>
      <c r="JH2" s="4" t="s">
        <v>543</v>
      </c>
      <c r="JI2" s="4" t="s">
        <v>544</v>
      </c>
      <c r="JJ2" s="4" t="s">
        <v>545</v>
      </c>
      <c r="JK2" s="4" t="s">
        <v>546</v>
      </c>
      <c r="JL2" s="4" t="s">
        <v>547</v>
      </c>
      <c r="JM2" s="4" t="s">
        <v>548</v>
      </c>
      <c r="JN2" s="4" t="s">
        <v>549</v>
      </c>
      <c r="JO2" s="4" t="s">
        <v>550</v>
      </c>
      <c r="JP2" s="4" t="s">
        <v>551</v>
      </c>
      <c r="JQ2" s="4" t="s">
        <v>552</v>
      </c>
      <c r="JR2" s="4" t="s">
        <v>553</v>
      </c>
      <c r="JS2" s="4" t="s">
        <v>554</v>
      </c>
      <c r="JT2" s="4" t="s">
        <v>555</v>
      </c>
      <c r="JU2" s="4" t="s">
        <v>556</v>
      </c>
      <c r="JV2" s="4" t="s">
        <v>557</v>
      </c>
      <c r="JW2" s="4" t="s">
        <v>558</v>
      </c>
      <c r="JX2" s="4" t="s">
        <v>559</v>
      </c>
      <c r="JY2" s="4" t="s">
        <v>560</v>
      </c>
      <c r="JZ2" s="4" t="s">
        <v>561</v>
      </c>
      <c r="KA2" s="4" t="s">
        <v>562</v>
      </c>
      <c r="KB2" s="4" t="s">
        <v>563</v>
      </c>
      <c r="KC2" s="4" t="s">
        <v>564</v>
      </c>
      <c r="KD2" s="4" t="s">
        <v>565</v>
      </c>
      <c r="KE2" s="4" t="s">
        <v>566</v>
      </c>
      <c r="KF2" s="4" t="s">
        <v>567</v>
      </c>
      <c r="KG2" s="4" t="s">
        <v>568</v>
      </c>
      <c r="KH2" s="4" t="s">
        <v>569</v>
      </c>
      <c r="KI2" s="4" t="s">
        <v>570</v>
      </c>
      <c r="KJ2" s="4" t="s">
        <v>571</v>
      </c>
      <c r="KK2" s="4" t="s">
        <v>572</v>
      </c>
      <c r="KL2" s="4" t="s">
        <v>573</v>
      </c>
      <c r="KM2" s="4" t="s">
        <v>574</v>
      </c>
      <c r="KN2" s="4" t="s">
        <v>575</v>
      </c>
      <c r="KO2" s="4" t="s">
        <v>576</v>
      </c>
      <c r="KP2" s="4" t="s">
        <v>577</v>
      </c>
      <c r="KQ2" s="4" t="s">
        <v>578</v>
      </c>
      <c r="KR2" s="4" t="s">
        <v>579</v>
      </c>
      <c r="KS2" s="4" t="s">
        <v>580</v>
      </c>
      <c r="KT2" s="4" t="s">
        <v>581</v>
      </c>
      <c r="KU2" s="4" t="s">
        <v>582</v>
      </c>
      <c r="KV2" s="4" t="s">
        <v>583</v>
      </c>
      <c r="KW2" s="4" t="s">
        <v>584</v>
      </c>
      <c r="KX2" s="4" t="s">
        <v>585</v>
      </c>
      <c r="KY2" s="4" t="s">
        <v>586</v>
      </c>
      <c r="KZ2" s="4" t="s">
        <v>587</v>
      </c>
      <c r="LA2" s="4" t="s">
        <v>588</v>
      </c>
      <c r="LB2" s="4" t="s">
        <v>589</v>
      </c>
      <c r="LC2" s="4" t="s">
        <v>590</v>
      </c>
      <c r="LD2" s="4" t="s">
        <v>591</v>
      </c>
      <c r="LE2" s="4" t="s">
        <v>592</v>
      </c>
      <c r="LF2" s="4" t="s">
        <v>593</v>
      </c>
      <c r="LG2" s="4" t="s">
        <v>594</v>
      </c>
      <c r="LH2" s="4" t="s">
        <v>595</v>
      </c>
      <c r="LI2" s="4" t="s">
        <v>596</v>
      </c>
      <c r="LJ2" s="4" t="s">
        <v>597</v>
      </c>
      <c r="LK2" s="4" t="s">
        <v>598</v>
      </c>
      <c r="LL2" s="4" t="s">
        <v>599</v>
      </c>
      <c r="LM2" s="4" t="s">
        <v>600</v>
      </c>
      <c r="LN2" s="4" t="s">
        <v>601</v>
      </c>
      <c r="LO2" s="4" t="s">
        <v>602</v>
      </c>
      <c r="LP2" s="4" t="s">
        <v>603</v>
      </c>
      <c r="LQ2" s="4" t="s">
        <v>604</v>
      </c>
      <c r="LR2" s="4" t="s">
        <v>605</v>
      </c>
      <c r="LS2" s="4" t="s">
        <v>606</v>
      </c>
      <c r="LT2" s="4" t="s">
        <v>607</v>
      </c>
      <c r="LU2" s="4" t="s">
        <v>608</v>
      </c>
      <c r="LV2" s="4" t="s">
        <v>609</v>
      </c>
      <c r="LW2" s="4" t="s">
        <v>610</v>
      </c>
      <c r="LX2" s="4" t="s">
        <v>611</v>
      </c>
      <c r="LY2" s="4" t="s">
        <v>612</v>
      </c>
      <c r="LZ2" s="4" t="s">
        <v>613</v>
      </c>
      <c r="MA2" s="4" t="s">
        <v>614</v>
      </c>
      <c r="MB2" s="4" t="s">
        <v>615</v>
      </c>
      <c r="MC2" s="4" t="s">
        <v>616</v>
      </c>
      <c r="MD2" s="4" t="s">
        <v>617</v>
      </c>
      <c r="ME2" s="4" t="s">
        <v>618</v>
      </c>
      <c r="MF2" s="4" t="s">
        <v>619</v>
      </c>
      <c r="MG2" s="4" t="s">
        <v>620</v>
      </c>
      <c r="MH2" s="4" t="s">
        <v>621</v>
      </c>
      <c r="MI2" s="4" t="s">
        <v>622</v>
      </c>
      <c r="MJ2" s="4" t="s">
        <v>623</v>
      </c>
      <c r="MK2" s="4" t="s">
        <v>624</v>
      </c>
      <c r="ML2" s="4" t="s">
        <v>625</v>
      </c>
      <c r="MM2" s="4" t="s">
        <v>626</v>
      </c>
      <c r="MN2" s="4" t="s">
        <v>627</v>
      </c>
      <c r="MO2" s="4" t="s">
        <v>628</v>
      </c>
      <c r="MP2" s="4" t="s">
        <v>629</v>
      </c>
      <c r="MQ2" s="4" t="s">
        <v>630</v>
      </c>
      <c r="MR2" s="4" t="s">
        <v>631</v>
      </c>
      <c r="MS2" s="4" t="s">
        <v>632</v>
      </c>
      <c r="MT2" s="4" t="s">
        <v>633</v>
      </c>
      <c r="MU2" s="4" t="s">
        <v>634</v>
      </c>
      <c r="MV2" s="4" t="s">
        <v>635</v>
      </c>
      <c r="MW2" s="4" t="s">
        <v>636</v>
      </c>
      <c r="MX2" s="4" t="s">
        <v>637</v>
      </c>
      <c r="MY2" s="4" t="s">
        <v>638</v>
      </c>
      <c r="MZ2" s="4" t="s">
        <v>639</v>
      </c>
      <c r="NA2" s="4" t="s">
        <v>640</v>
      </c>
      <c r="NB2" s="4" t="s">
        <v>641</v>
      </c>
      <c r="NC2" s="4" t="s">
        <v>642</v>
      </c>
      <c r="ND2" s="4" t="s">
        <v>643</v>
      </c>
      <c r="NE2" s="4" t="s">
        <v>644</v>
      </c>
      <c r="NF2" s="4" t="s">
        <v>645</v>
      </c>
      <c r="NG2" s="4" t="s">
        <v>646</v>
      </c>
      <c r="NH2" s="4" t="s">
        <v>647</v>
      </c>
      <c r="NI2" s="4" t="s">
        <v>648</v>
      </c>
      <c r="NJ2" s="4" t="s">
        <v>649</v>
      </c>
      <c r="NK2" s="4" t="s">
        <v>650</v>
      </c>
      <c r="NL2" s="4" t="s">
        <v>651</v>
      </c>
      <c r="NM2" s="4" t="s">
        <v>652</v>
      </c>
      <c r="NN2" s="4" t="s">
        <v>653</v>
      </c>
      <c r="NO2" s="4" t="s">
        <v>654</v>
      </c>
      <c r="NP2" s="4" t="s">
        <v>655</v>
      </c>
      <c r="NQ2" s="4" t="s">
        <v>656</v>
      </c>
      <c r="NR2" s="4" t="s">
        <v>657</v>
      </c>
      <c r="NS2" s="4" t="s">
        <v>658</v>
      </c>
      <c r="NT2" s="4" t="s">
        <v>659</v>
      </c>
      <c r="NU2" s="4" t="s">
        <v>660</v>
      </c>
      <c r="NV2" s="4" t="s">
        <v>661</v>
      </c>
      <c r="NW2" s="4" t="s">
        <v>662</v>
      </c>
      <c r="NX2" s="4" t="s">
        <v>663</v>
      </c>
      <c r="NY2" s="4" t="s">
        <v>664</v>
      </c>
      <c r="NZ2" s="4" t="s">
        <v>665</v>
      </c>
      <c r="OA2" s="4" t="s">
        <v>666</v>
      </c>
      <c r="OB2" s="4" t="s">
        <v>667</v>
      </c>
      <c r="OC2" s="4" t="s">
        <v>668</v>
      </c>
      <c r="OD2" s="4" t="s">
        <v>669</v>
      </c>
      <c r="OE2" s="4" t="s">
        <v>670</v>
      </c>
      <c r="OF2" s="4" t="s">
        <v>671</v>
      </c>
      <c r="OG2" s="4" t="s">
        <v>672</v>
      </c>
      <c r="OH2" s="4" t="s">
        <v>673</v>
      </c>
      <c r="OI2" s="4" t="s">
        <v>674</v>
      </c>
      <c r="OJ2" s="4" t="s">
        <v>675</v>
      </c>
      <c r="OK2" s="4" t="s">
        <v>676</v>
      </c>
      <c r="OL2" s="4" t="s">
        <v>677</v>
      </c>
      <c r="OM2" s="4" t="s">
        <v>678</v>
      </c>
      <c r="ON2" s="4" t="s">
        <v>679</v>
      </c>
      <c r="OO2" s="4" t="s">
        <v>680</v>
      </c>
      <c r="OP2" s="4" t="s">
        <v>681</v>
      </c>
      <c r="OQ2" s="4" t="s">
        <v>682</v>
      </c>
      <c r="OR2" s="4" t="s">
        <v>683</v>
      </c>
      <c r="OS2" s="4" t="s">
        <v>684</v>
      </c>
      <c r="OT2" s="4" t="s">
        <v>685</v>
      </c>
      <c r="OU2" s="4" t="s">
        <v>686</v>
      </c>
      <c r="OV2" s="4" t="s">
        <v>687</v>
      </c>
      <c r="OW2" s="4" t="s">
        <v>688</v>
      </c>
      <c r="OX2" s="4" t="s">
        <v>689</v>
      </c>
      <c r="OY2" s="4" t="s">
        <v>690</v>
      </c>
      <c r="OZ2" s="4" t="s">
        <v>691</v>
      </c>
      <c r="PA2" s="4" t="s">
        <v>692</v>
      </c>
      <c r="PB2" s="4" t="s">
        <v>693</v>
      </c>
      <c r="PC2" s="4" t="s">
        <v>694</v>
      </c>
      <c r="PD2" s="4" t="s">
        <v>695</v>
      </c>
      <c r="PE2" s="4" t="s">
        <v>696</v>
      </c>
      <c r="PF2" s="4" t="s">
        <v>697</v>
      </c>
      <c r="PG2" s="4" t="s">
        <v>698</v>
      </c>
      <c r="PH2" s="4" t="s">
        <v>699</v>
      </c>
      <c r="PI2" s="4" t="s">
        <v>700</v>
      </c>
      <c r="PJ2" s="4" t="s">
        <v>701</v>
      </c>
      <c r="PK2" s="4" t="s">
        <v>702</v>
      </c>
      <c r="PL2" s="4" t="s">
        <v>703</v>
      </c>
      <c r="PM2" s="4" t="s">
        <v>704</v>
      </c>
      <c r="PN2" s="4" t="s">
        <v>706</v>
      </c>
      <c r="PO2" s="4" t="s">
        <v>707</v>
      </c>
      <c r="PP2" s="4" t="s">
        <v>708</v>
      </c>
      <c r="PQ2" s="4" t="s">
        <v>709</v>
      </c>
      <c r="PR2" s="4" t="s">
        <v>710</v>
      </c>
      <c r="PS2" s="4" t="s">
        <v>711</v>
      </c>
      <c r="PT2" s="4" t="s">
        <v>712</v>
      </c>
      <c r="PU2" s="4" t="s">
        <v>713</v>
      </c>
      <c r="PV2" s="4" t="s">
        <v>714</v>
      </c>
      <c r="PW2" s="4" t="s">
        <v>715</v>
      </c>
      <c r="PX2" s="4" t="s">
        <v>716</v>
      </c>
      <c r="PY2" s="4" t="s">
        <v>717</v>
      </c>
      <c r="PZ2" s="4" t="s">
        <v>718</v>
      </c>
      <c r="QA2" s="4" t="s">
        <v>719</v>
      </c>
      <c r="QB2" s="4" t="s">
        <v>720</v>
      </c>
      <c r="QC2" s="4" t="s">
        <v>721</v>
      </c>
      <c r="QD2" s="4" t="s">
        <v>722</v>
      </c>
      <c r="QE2" s="4" t="s">
        <v>723</v>
      </c>
      <c r="QF2" s="4" t="s">
        <v>724</v>
      </c>
      <c r="QG2" s="4" t="s">
        <v>725</v>
      </c>
      <c r="QH2" s="4" t="s">
        <v>726</v>
      </c>
      <c r="QI2" s="4" t="s">
        <v>727</v>
      </c>
      <c r="QJ2" s="4" t="s">
        <v>728</v>
      </c>
      <c r="QK2" s="4" t="s">
        <v>729</v>
      </c>
      <c r="QL2" s="4" t="s">
        <v>730</v>
      </c>
      <c r="QM2" s="4" t="s">
        <v>731</v>
      </c>
      <c r="QN2" s="4" t="s">
        <v>732</v>
      </c>
      <c r="QO2" s="4" t="s">
        <v>733</v>
      </c>
      <c r="QP2" s="4" t="s">
        <v>734</v>
      </c>
      <c r="QQ2" s="4" t="s">
        <v>735</v>
      </c>
      <c r="QR2" s="4" t="s">
        <v>736</v>
      </c>
      <c r="QS2" s="4" t="s">
        <v>737</v>
      </c>
      <c r="QT2" s="4" t="s">
        <v>738</v>
      </c>
      <c r="QU2" s="4" t="s">
        <v>739</v>
      </c>
      <c r="QV2" s="4" t="s">
        <v>740</v>
      </c>
      <c r="QW2" s="4" t="s">
        <v>741</v>
      </c>
      <c r="QX2" s="4" t="s">
        <v>742</v>
      </c>
      <c r="QY2" s="4" t="s">
        <v>743</v>
      </c>
      <c r="QZ2" s="4" t="s">
        <v>744</v>
      </c>
      <c r="RA2" s="4" t="s">
        <v>745</v>
      </c>
      <c r="RB2" s="4" t="s">
        <v>746</v>
      </c>
      <c r="RC2" s="4" t="s">
        <v>747</v>
      </c>
      <c r="RD2" s="4" t="s">
        <v>748</v>
      </c>
      <c r="RE2" s="4" t="s">
        <v>749</v>
      </c>
      <c r="RF2" s="4" t="s">
        <v>750</v>
      </c>
      <c r="RG2" s="4" t="s">
        <v>751</v>
      </c>
      <c r="RH2" s="4" t="s">
        <v>752</v>
      </c>
      <c r="RI2" s="4" t="s">
        <v>753</v>
      </c>
      <c r="RJ2" s="4" t="s">
        <v>754</v>
      </c>
      <c r="RK2" s="4" t="s">
        <v>755</v>
      </c>
      <c r="RL2" s="4" t="s">
        <v>756</v>
      </c>
      <c r="RM2" s="4" t="s">
        <v>757</v>
      </c>
      <c r="RN2" s="4" t="s">
        <v>758</v>
      </c>
      <c r="RO2" s="4" t="s">
        <v>759</v>
      </c>
      <c r="RP2" s="4" t="s">
        <v>760</v>
      </c>
      <c r="RQ2" s="4" t="s">
        <v>761</v>
      </c>
      <c r="RR2" s="4" t="s">
        <v>762</v>
      </c>
      <c r="RS2" s="4" t="s">
        <v>763</v>
      </c>
    </row>
    <row r="3" spans="1:487">
      <c r="A3" t="s">
        <v>764</v>
      </c>
      <c r="B3" s="5">
        <v>2361</v>
      </c>
      <c r="C3" s="5">
        <v>1959</v>
      </c>
      <c r="D3" s="5">
        <v>2377</v>
      </c>
      <c r="E3" s="5">
        <v>1029</v>
      </c>
      <c r="F3" s="5">
        <v>1367</v>
      </c>
      <c r="G3" s="5">
        <v>1242</v>
      </c>
      <c r="H3" s="5">
        <v>1020</v>
      </c>
      <c r="I3" s="5">
        <v>1309</v>
      </c>
      <c r="J3" s="5">
        <v>1124</v>
      </c>
      <c r="K3" s="5">
        <v>1039</v>
      </c>
      <c r="L3" s="5">
        <v>973</v>
      </c>
      <c r="M3" s="5">
        <v>1091</v>
      </c>
      <c r="N3" s="5">
        <v>1191</v>
      </c>
      <c r="O3" s="5">
        <v>1087</v>
      </c>
      <c r="P3" s="5">
        <v>1118</v>
      </c>
      <c r="Q3" s="5">
        <v>1354</v>
      </c>
      <c r="R3" s="5">
        <v>1072</v>
      </c>
      <c r="S3" s="5">
        <v>1108</v>
      </c>
      <c r="T3" s="5">
        <v>1270</v>
      </c>
      <c r="U3" s="5">
        <v>1080</v>
      </c>
      <c r="V3" s="5">
        <v>1416</v>
      </c>
      <c r="W3" s="5">
        <v>1333</v>
      </c>
      <c r="X3" s="5">
        <v>1164</v>
      </c>
      <c r="Y3" s="5">
        <v>951</v>
      </c>
      <c r="Z3" s="5">
        <v>1005</v>
      </c>
      <c r="AA3" s="5">
        <v>1295</v>
      </c>
      <c r="AB3" s="5">
        <v>1243</v>
      </c>
      <c r="AC3" s="5">
        <v>0</v>
      </c>
      <c r="AD3" s="5">
        <v>30</v>
      </c>
      <c r="AE3" s="5">
        <v>0</v>
      </c>
      <c r="AF3" s="5">
        <v>35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53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34</v>
      </c>
      <c r="AY3" s="5">
        <v>0</v>
      </c>
      <c r="AZ3" s="5">
        <v>0</v>
      </c>
      <c r="BA3" s="5">
        <v>0</v>
      </c>
      <c r="BB3" s="5">
        <v>0</v>
      </c>
      <c r="BC3" s="5">
        <v>48</v>
      </c>
      <c r="BD3" s="5">
        <v>35</v>
      </c>
      <c r="BE3" s="5">
        <v>25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21</v>
      </c>
      <c r="BL3" s="5">
        <v>0</v>
      </c>
      <c r="BM3" s="5">
        <v>54</v>
      </c>
      <c r="BN3" s="5">
        <v>6</v>
      </c>
      <c r="BO3" s="5">
        <v>0</v>
      </c>
      <c r="BP3" s="5">
        <v>0</v>
      </c>
      <c r="BQ3" s="5">
        <v>63</v>
      </c>
      <c r="BR3" s="5">
        <v>0</v>
      </c>
      <c r="BS3" s="5">
        <v>10</v>
      </c>
      <c r="BT3" s="5">
        <v>0</v>
      </c>
      <c r="BU3" s="5">
        <v>0</v>
      </c>
      <c r="BV3" s="5">
        <v>26</v>
      </c>
      <c r="BW3" s="5">
        <v>0</v>
      </c>
      <c r="BX3" s="5">
        <v>0</v>
      </c>
      <c r="BY3" s="5">
        <v>24</v>
      </c>
      <c r="BZ3" s="5">
        <v>0</v>
      </c>
      <c r="CA3" s="5">
        <v>0</v>
      </c>
      <c r="CB3" s="5">
        <v>0</v>
      </c>
      <c r="CC3" s="5">
        <v>0</v>
      </c>
      <c r="CD3" s="5">
        <v>0</v>
      </c>
      <c r="CE3" s="5">
        <v>0</v>
      </c>
      <c r="CF3" s="5">
        <v>0</v>
      </c>
      <c r="CG3" s="5">
        <v>0</v>
      </c>
      <c r="CH3" s="5">
        <v>0</v>
      </c>
      <c r="CI3" s="5">
        <v>0</v>
      </c>
      <c r="CJ3" s="5">
        <v>0</v>
      </c>
      <c r="CK3" s="5">
        <v>0</v>
      </c>
      <c r="CL3" s="5">
        <v>0</v>
      </c>
      <c r="CM3" s="5">
        <v>30</v>
      </c>
      <c r="CN3" s="5">
        <v>42</v>
      </c>
      <c r="CO3" s="5">
        <v>0</v>
      </c>
      <c r="CP3" s="5">
        <v>34</v>
      </c>
      <c r="CQ3" s="5">
        <v>43</v>
      </c>
      <c r="CR3" s="5">
        <v>0</v>
      </c>
      <c r="CS3" s="5">
        <v>0</v>
      </c>
      <c r="CT3" s="5">
        <v>0</v>
      </c>
      <c r="CU3" s="5">
        <v>0</v>
      </c>
      <c r="CV3" s="5">
        <v>15</v>
      </c>
      <c r="CW3" s="5">
        <v>0</v>
      </c>
      <c r="CX3" s="5">
        <v>0</v>
      </c>
      <c r="CY3" s="5">
        <v>46</v>
      </c>
      <c r="CZ3" s="5">
        <v>14</v>
      </c>
      <c r="DA3" s="5">
        <v>0</v>
      </c>
      <c r="DB3" s="5">
        <v>0</v>
      </c>
      <c r="DC3" s="5">
        <v>0</v>
      </c>
      <c r="DD3" s="5">
        <v>40</v>
      </c>
      <c r="DE3" s="5">
        <v>30</v>
      </c>
      <c r="DF3" s="5">
        <v>0</v>
      </c>
      <c r="DG3" s="5">
        <v>0</v>
      </c>
      <c r="DH3" s="5">
        <v>0</v>
      </c>
      <c r="DI3" s="5">
        <v>0</v>
      </c>
      <c r="DJ3" s="5">
        <v>0</v>
      </c>
      <c r="DK3" s="5">
        <v>13</v>
      </c>
      <c r="DL3" s="5">
        <v>0</v>
      </c>
      <c r="DM3" s="5">
        <v>14</v>
      </c>
      <c r="DN3" s="5">
        <v>0</v>
      </c>
      <c r="DO3" s="5">
        <v>32</v>
      </c>
      <c r="DP3" s="5">
        <v>21</v>
      </c>
      <c r="DQ3" s="5">
        <v>0</v>
      </c>
      <c r="DR3" s="5">
        <v>0</v>
      </c>
      <c r="DS3" s="5">
        <v>0</v>
      </c>
      <c r="DT3" s="5">
        <v>0</v>
      </c>
      <c r="DU3" s="5">
        <v>0</v>
      </c>
      <c r="DV3" s="5">
        <v>0</v>
      </c>
      <c r="DW3" s="5">
        <v>0</v>
      </c>
      <c r="DX3" s="5">
        <v>0</v>
      </c>
      <c r="DY3" s="5">
        <v>0</v>
      </c>
      <c r="DZ3" s="5">
        <v>0</v>
      </c>
      <c r="EA3" s="5">
        <v>15</v>
      </c>
      <c r="EB3" s="5">
        <v>0</v>
      </c>
      <c r="EC3" s="5">
        <v>0</v>
      </c>
      <c r="ED3" s="5">
        <v>17</v>
      </c>
      <c r="EE3" s="5">
        <v>0</v>
      </c>
      <c r="EF3" s="5">
        <v>0</v>
      </c>
      <c r="EG3" s="5">
        <v>15</v>
      </c>
      <c r="EH3" s="5">
        <v>0</v>
      </c>
      <c r="EI3" s="5">
        <v>0</v>
      </c>
      <c r="EJ3" s="5">
        <v>0</v>
      </c>
      <c r="EK3" s="5">
        <v>0</v>
      </c>
      <c r="EL3" s="5">
        <v>15</v>
      </c>
      <c r="EM3" s="5">
        <v>0</v>
      </c>
      <c r="EN3" s="5">
        <v>30</v>
      </c>
      <c r="EO3" s="5">
        <v>0</v>
      </c>
      <c r="EP3" s="5">
        <v>0</v>
      </c>
      <c r="EQ3" s="5">
        <v>47</v>
      </c>
      <c r="ER3" s="5">
        <v>0</v>
      </c>
      <c r="ES3" s="5">
        <v>0</v>
      </c>
      <c r="ET3" s="5">
        <v>55</v>
      </c>
      <c r="EU3" s="5">
        <v>37</v>
      </c>
      <c r="EV3" s="5">
        <v>0</v>
      </c>
      <c r="EW3" s="5">
        <v>0</v>
      </c>
      <c r="EX3" s="5">
        <v>27</v>
      </c>
      <c r="EY3" s="5">
        <v>0</v>
      </c>
      <c r="EZ3" s="5">
        <v>0</v>
      </c>
      <c r="FA3" s="5">
        <v>0</v>
      </c>
      <c r="FB3" s="5">
        <v>0</v>
      </c>
      <c r="FC3" s="5">
        <v>0</v>
      </c>
      <c r="FD3" s="5">
        <v>0</v>
      </c>
      <c r="FE3" s="5">
        <v>0</v>
      </c>
      <c r="FF3" s="5">
        <v>0</v>
      </c>
      <c r="FG3" s="5">
        <v>0</v>
      </c>
      <c r="FH3" s="5">
        <v>0</v>
      </c>
      <c r="FI3" s="5">
        <v>0</v>
      </c>
      <c r="FJ3" s="5">
        <v>10</v>
      </c>
      <c r="FK3" s="5">
        <v>0</v>
      </c>
      <c r="FL3" s="5">
        <v>0</v>
      </c>
      <c r="FM3" s="5">
        <v>0</v>
      </c>
      <c r="FN3" s="5">
        <v>0</v>
      </c>
      <c r="FO3" s="5">
        <v>0</v>
      </c>
      <c r="FP3" s="5">
        <v>16</v>
      </c>
      <c r="FQ3" s="5">
        <v>0</v>
      </c>
      <c r="FR3" s="5">
        <v>0</v>
      </c>
      <c r="FS3" s="5">
        <v>36</v>
      </c>
      <c r="FT3" s="5">
        <v>0</v>
      </c>
      <c r="FU3" s="5">
        <v>0</v>
      </c>
      <c r="FV3" s="5">
        <v>26</v>
      </c>
      <c r="FW3" s="5">
        <v>939</v>
      </c>
      <c r="FX3" s="5">
        <v>1019</v>
      </c>
      <c r="FY3" s="5">
        <v>924</v>
      </c>
      <c r="FZ3" s="5">
        <v>1210</v>
      </c>
      <c r="GA3" s="5">
        <v>1116</v>
      </c>
      <c r="GB3" s="5">
        <v>1019</v>
      </c>
      <c r="GC3" s="5">
        <v>169</v>
      </c>
      <c r="GD3" s="5">
        <v>164</v>
      </c>
      <c r="GE3" s="5">
        <v>277</v>
      </c>
      <c r="GF3" s="5">
        <v>241</v>
      </c>
      <c r="GG3" s="5">
        <v>123</v>
      </c>
      <c r="GH3" s="5">
        <v>114</v>
      </c>
      <c r="GI3" s="5">
        <v>105</v>
      </c>
      <c r="GJ3" s="5">
        <v>46</v>
      </c>
      <c r="GK3" s="5">
        <v>3</v>
      </c>
      <c r="GL3" s="5">
        <v>72</v>
      </c>
      <c r="GM3" s="5">
        <v>74</v>
      </c>
      <c r="GN3" s="5">
        <v>5</v>
      </c>
      <c r="GO3" s="5">
        <v>52</v>
      </c>
      <c r="GP3" s="5">
        <v>148</v>
      </c>
      <c r="GQ3" s="5">
        <v>96</v>
      </c>
      <c r="GR3" s="5">
        <v>36</v>
      </c>
      <c r="GS3" s="5">
        <v>92</v>
      </c>
      <c r="GT3" s="5">
        <v>58</v>
      </c>
      <c r="GU3" s="5">
        <v>282</v>
      </c>
      <c r="GV3" s="5">
        <v>38</v>
      </c>
      <c r="GW3" s="5">
        <v>289</v>
      </c>
      <c r="GX3" s="5">
        <v>74</v>
      </c>
      <c r="GY3" s="5">
        <v>93</v>
      </c>
      <c r="GZ3" s="5">
        <v>277</v>
      </c>
      <c r="HA3" s="5">
        <v>70</v>
      </c>
      <c r="HB3" s="5">
        <v>35</v>
      </c>
      <c r="HC3" s="5">
        <v>192</v>
      </c>
      <c r="HD3" s="5">
        <v>33</v>
      </c>
      <c r="HE3" s="5">
        <v>69</v>
      </c>
      <c r="HF3" s="5">
        <v>74</v>
      </c>
      <c r="HG3" s="5">
        <v>82</v>
      </c>
      <c r="HH3" s="5">
        <v>186</v>
      </c>
      <c r="HI3" s="5">
        <v>195</v>
      </c>
      <c r="HJ3" s="5">
        <v>34</v>
      </c>
      <c r="HK3" s="5">
        <v>116</v>
      </c>
      <c r="HL3" s="5">
        <v>94</v>
      </c>
      <c r="HM3" s="5">
        <v>45</v>
      </c>
      <c r="HN3" s="5">
        <v>140</v>
      </c>
      <c r="HO3" s="5">
        <v>141</v>
      </c>
      <c r="HP3" s="5">
        <v>191</v>
      </c>
      <c r="HQ3" s="5">
        <v>184</v>
      </c>
      <c r="HR3" s="5">
        <v>28</v>
      </c>
      <c r="HS3" s="5">
        <v>107</v>
      </c>
      <c r="HT3" s="5">
        <v>83</v>
      </c>
      <c r="HU3" s="5">
        <v>165</v>
      </c>
      <c r="HV3" s="5">
        <v>79</v>
      </c>
      <c r="HW3" s="5">
        <v>13</v>
      </c>
      <c r="HX3" s="5">
        <v>156</v>
      </c>
      <c r="HY3" s="5">
        <v>34</v>
      </c>
      <c r="HZ3" s="5">
        <v>130</v>
      </c>
      <c r="IA3" s="5">
        <v>58</v>
      </c>
      <c r="IB3" s="5">
        <v>193</v>
      </c>
      <c r="IC3" s="5">
        <v>15</v>
      </c>
      <c r="ID3" s="5">
        <v>72</v>
      </c>
      <c r="IE3" s="5">
        <v>126</v>
      </c>
      <c r="IF3" s="5">
        <v>0</v>
      </c>
      <c r="IG3" s="5">
        <v>79</v>
      </c>
      <c r="IH3" s="5">
        <v>97</v>
      </c>
      <c r="II3" s="5">
        <v>51</v>
      </c>
      <c r="IJ3" s="5">
        <v>145</v>
      </c>
      <c r="IK3" s="5">
        <v>92</v>
      </c>
      <c r="IL3" s="5">
        <v>55</v>
      </c>
      <c r="IM3" s="5">
        <v>132</v>
      </c>
      <c r="IN3" s="5">
        <v>145</v>
      </c>
      <c r="IO3" s="5">
        <v>261</v>
      </c>
      <c r="IP3" s="5">
        <v>44</v>
      </c>
      <c r="IQ3" s="5">
        <v>91</v>
      </c>
      <c r="IR3" s="5">
        <v>92</v>
      </c>
      <c r="IS3" s="5">
        <v>279</v>
      </c>
      <c r="IT3" s="5">
        <v>121</v>
      </c>
      <c r="IU3" s="5">
        <v>118</v>
      </c>
      <c r="IV3" s="5">
        <v>49</v>
      </c>
      <c r="IW3" s="5">
        <v>192</v>
      </c>
      <c r="IX3" s="5">
        <v>189</v>
      </c>
      <c r="IY3" s="5">
        <v>173</v>
      </c>
      <c r="IZ3" s="5">
        <v>161</v>
      </c>
      <c r="JA3" s="5">
        <v>81</v>
      </c>
      <c r="JB3" s="5">
        <v>48</v>
      </c>
      <c r="JC3" s="5">
        <v>115</v>
      </c>
      <c r="JD3" s="5">
        <v>42</v>
      </c>
      <c r="JE3" s="5">
        <v>78</v>
      </c>
      <c r="JF3" s="5">
        <v>21</v>
      </c>
      <c r="JG3" s="5">
        <v>114</v>
      </c>
      <c r="JH3" s="5">
        <v>214</v>
      </c>
      <c r="JI3" s="5">
        <v>234</v>
      </c>
      <c r="JJ3" s="5">
        <v>63</v>
      </c>
      <c r="JK3" s="5">
        <v>18</v>
      </c>
      <c r="JL3" s="5">
        <v>41</v>
      </c>
      <c r="JM3" s="5">
        <v>60</v>
      </c>
      <c r="JN3" s="5">
        <v>71</v>
      </c>
      <c r="JO3" s="5">
        <v>189</v>
      </c>
      <c r="JP3" s="5">
        <v>116</v>
      </c>
      <c r="JQ3" s="5">
        <v>168</v>
      </c>
      <c r="JR3" s="5">
        <v>221</v>
      </c>
      <c r="JS3" s="5">
        <v>83</v>
      </c>
      <c r="JT3" s="5">
        <v>316</v>
      </c>
      <c r="JU3" s="5">
        <v>530</v>
      </c>
      <c r="JV3" s="5">
        <v>465</v>
      </c>
      <c r="JW3" s="5">
        <v>456</v>
      </c>
      <c r="JX3" s="5">
        <v>536</v>
      </c>
      <c r="JY3" s="5">
        <v>471</v>
      </c>
      <c r="JZ3" s="5">
        <v>293</v>
      </c>
      <c r="KA3" s="5">
        <v>386</v>
      </c>
      <c r="KB3" s="5">
        <v>338</v>
      </c>
      <c r="KC3" s="5">
        <v>818</v>
      </c>
      <c r="KD3" s="5">
        <v>928</v>
      </c>
      <c r="KE3" s="5">
        <v>620</v>
      </c>
      <c r="KF3" s="5">
        <v>544</v>
      </c>
      <c r="KG3" s="5">
        <v>858</v>
      </c>
      <c r="KH3" s="5">
        <v>847</v>
      </c>
      <c r="KI3" s="5">
        <v>874</v>
      </c>
      <c r="KJ3" s="5">
        <v>648</v>
      </c>
      <c r="KK3" s="5">
        <v>1247</v>
      </c>
      <c r="KL3" s="5">
        <v>1297</v>
      </c>
      <c r="KM3" s="5">
        <v>1237</v>
      </c>
      <c r="KN3" s="5">
        <v>1408</v>
      </c>
      <c r="KO3" s="5">
        <v>1250</v>
      </c>
      <c r="KP3" s="5">
        <v>2161</v>
      </c>
      <c r="KQ3" s="5"/>
      <c r="KR3" s="5">
        <v>667</v>
      </c>
      <c r="KS3" s="5">
        <v>824</v>
      </c>
      <c r="KT3" s="5">
        <v>954</v>
      </c>
      <c r="KU3" s="5">
        <v>709</v>
      </c>
      <c r="KV3" s="5">
        <v>366</v>
      </c>
      <c r="KW3" s="5">
        <v>894</v>
      </c>
      <c r="KX3" s="5">
        <v>892</v>
      </c>
      <c r="KY3" s="5">
        <v>670</v>
      </c>
      <c r="KZ3" s="5">
        <v>836</v>
      </c>
      <c r="LA3" s="5">
        <v>695</v>
      </c>
      <c r="LB3" s="5">
        <v>934</v>
      </c>
      <c r="LC3" s="5">
        <v>773</v>
      </c>
      <c r="LD3" s="5">
        <v>1261</v>
      </c>
      <c r="LE3" s="5">
        <v>1390</v>
      </c>
      <c r="LF3" s="5">
        <v>1886</v>
      </c>
      <c r="LG3" s="5">
        <v>1659</v>
      </c>
      <c r="LH3" s="5">
        <v>1428</v>
      </c>
      <c r="LI3" s="5">
        <v>1084</v>
      </c>
      <c r="LJ3" s="5">
        <v>1270</v>
      </c>
      <c r="LK3" s="5">
        <v>1457</v>
      </c>
      <c r="LL3" s="5">
        <v>1410</v>
      </c>
      <c r="LM3" s="5">
        <v>1718</v>
      </c>
      <c r="LN3" s="5">
        <v>1666</v>
      </c>
      <c r="LO3" s="5">
        <v>1642</v>
      </c>
      <c r="LP3" s="5">
        <v>350</v>
      </c>
      <c r="LQ3" s="5">
        <v>279</v>
      </c>
      <c r="LR3" s="5">
        <v>487</v>
      </c>
      <c r="LS3" s="5">
        <v>264</v>
      </c>
      <c r="LT3" s="5">
        <v>266</v>
      </c>
      <c r="LU3" s="5">
        <v>482</v>
      </c>
      <c r="LV3" s="5">
        <v>295</v>
      </c>
      <c r="LW3" s="5">
        <v>241</v>
      </c>
      <c r="LX3" s="5">
        <v>377</v>
      </c>
      <c r="LY3" s="5">
        <v>362</v>
      </c>
      <c r="LZ3" s="5">
        <v>388</v>
      </c>
      <c r="MA3" s="5">
        <v>492</v>
      </c>
      <c r="MB3" s="5">
        <v>407</v>
      </c>
      <c r="MC3" s="5">
        <v>404</v>
      </c>
      <c r="MD3" s="5">
        <v>436</v>
      </c>
      <c r="ME3" s="5">
        <v>306</v>
      </c>
      <c r="MF3" s="5">
        <v>172</v>
      </c>
      <c r="MG3" s="5">
        <v>295</v>
      </c>
      <c r="MH3" s="5">
        <v>345</v>
      </c>
      <c r="MI3" s="5">
        <v>258</v>
      </c>
      <c r="MJ3" s="5">
        <v>327</v>
      </c>
      <c r="MK3" s="5">
        <v>262</v>
      </c>
      <c r="ML3" s="5">
        <v>332</v>
      </c>
      <c r="MM3" s="5">
        <v>284</v>
      </c>
      <c r="MN3" s="5">
        <v>542</v>
      </c>
      <c r="MO3" s="5">
        <v>295</v>
      </c>
      <c r="MP3" s="5">
        <v>362</v>
      </c>
      <c r="MQ3" s="5">
        <v>0</v>
      </c>
      <c r="MR3" s="5">
        <v>508</v>
      </c>
      <c r="MS3" s="5">
        <v>234</v>
      </c>
      <c r="MT3" s="5">
        <v>342</v>
      </c>
      <c r="MU3" s="5">
        <v>263</v>
      </c>
      <c r="MV3" s="5">
        <v>303</v>
      </c>
      <c r="MW3" s="5">
        <v>314</v>
      </c>
      <c r="MX3" s="5">
        <v>226</v>
      </c>
      <c r="MY3" s="5">
        <v>216</v>
      </c>
      <c r="MZ3" s="5">
        <v>262</v>
      </c>
      <c r="NA3" s="5">
        <v>342</v>
      </c>
      <c r="NB3" s="5">
        <v>271</v>
      </c>
      <c r="NC3" s="5">
        <v>394</v>
      </c>
      <c r="ND3" s="5">
        <v>165</v>
      </c>
      <c r="NE3" s="5">
        <v>800</v>
      </c>
      <c r="NF3" s="5">
        <v>231</v>
      </c>
      <c r="NG3" s="5">
        <v>143</v>
      </c>
      <c r="NH3" s="5">
        <v>514</v>
      </c>
      <c r="NI3" s="5">
        <v>71</v>
      </c>
      <c r="NJ3" s="5">
        <v>406</v>
      </c>
      <c r="NK3" s="5">
        <v>446</v>
      </c>
      <c r="NL3" s="5">
        <v>571</v>
      </c>
      <c r="NM3" s="5">
        <v>154</v>
      </c>
      <c r="NN3" s="5">
        <v>323</v>
      </c>
      <c r="NO3" s="5">
        <v>273</v>
      </c>
      <c r="NP3" s="5">
        <v>735</v>
      </c>
      <c r="NQ3" s="5">
        <v>182</v>
      </c>
      <c r="NR3" s="5">
        <v>601</v>
      </c>
      <c r="NS3" s="5">
        <v>171</v>
      </c>
      <c r="NT3" s="5">
        <v>363</v>
      </c>
      <c r="NU3" s="5">
        <v>519</v>
      </c>
      <c r="NV3" s="5">
        <v>479</v>
      </c>
      <c r="NW3" s="5">
        <v>157</v>
      </c>
      <c r="NX3" s="5">
        <v>7406</v>
      </c>
      <c r="NY3" s="5">
        <v>203</v>
      </c>
      <c r="NZ3" s="5">
        <v>270</v>
      </c>
      <c r="OA3" s="5">
        <v>80</v>
      </c>
      <c r="OB3" s="5">
        <v>282</v>
      </c>
      <c r="OC3" s="5">
        <v>386</v>
      </c>
      <c r="OD3" s="5">
        <v>293</v>
      </c>
      <c r="OE3" s="5">
        <v>296</v>
      </c>
      <c r="OF3" s="5">
        <v>364</v>
      </c>
      <c r="OG3" s="5">
        <v>650</v>
      </c>
      <c r="OH3" s="5">
        <v>2224</v>
      </c>
      <c r="OI3" s="5">
        <v>1613</v>
      </c>
      <c r="OJ3" s="5">
        <v>1588</v>
      </c>
      <c r="OK3" s="5">
        <v>1596</v>
      </c>
      <c r="OL3" s="5">
        <v>2717</v>
      </c>
      <c r="OM3" s="5">
        <v>2548</v>
      </c>
      <c r="ON3" s="5">
        <v>2483</v>
      </c>
      <c r="OO3" s="5">
        <v>279</v>
      </c>
      <c r="OP3" s="5">
        <v>246</v>
      </c>
      <c r="OQ3" s="5">
        <v>878</v>
      </c>
      <c r="OR3" s="5">
        <v>177</v>
      </c>
      <c r="OS3" s="5">
        <v>703</v>
      </c>
      <c r="OT3" s="5">
        <v>678</v>
      </c>
      <c r="OU3" s="5">
        <v>83</v>
      </c>
      <c r="OV3" s="5">
        <v>285</v>
      </c>
      <c r="OW3" s="5">
        <v>586</v>
      </c>
      <c r="OX3" s="5">
        <v>607</v>
      </c>
      <c r="OY3" s="5">
        <v>122</v>
      </c>
      <c r="OZ3" s="5">
        <v>70</v>
      </c>
      <c r="PA3" s="5">
        <v>101</v>
      </c>
      <c r="PB3" s="5">
        <v>144</v>
      </c>
      <c r="PC3" s="5">
        <v>118</v>
      </c>
      <c r="PD3" s="5">
        <v>57</v>
      </c>
      <c r="PE3" s="5">
        <v>664</v>
      </c>
      <c r="PF3" s="5">
        <v>863</v>
      </c>
      <c r="PG3" s="5">
        <v>88</v>
      </c>
      <c r="PH3" s="5">
        <v>425</v>
      </c>
      <c r="PI3" s="5">
        <v>644</v>
      </c>
      <c r="PJ3" s="5">
        <v>480</v>
      </c>
      <c r="PK3" s="5">
        <v>505</v>
      </c>
      <c r="PL3" s="5">
        <v>134</v>
      </c>
      <c r="PM3" s="5" t="s">
        <v>705</v>
      </c>
      <c r="PN3" s="5">
        <v>141</v>
      </c>
      <c r="PO3" s="5" t="s">
        <v>705</v>
      </c>
      <c r="PP3" s="5">
        <v>584</v>
      </c>
      <c r="PQ3" s="5">
        <v>592</v>
      </c>
      <c r="PR3" s="5">
        <v>198</v>
      </c>
      <c r="PS3" s="5" t="s">
        <v>705</v>
      </c>
      <c r="PT3" s="5">
        <v>116</v>
      </c>
      <c r="PU3" s="5">
        <v>110</v>
      </c>
      <c r="PV3" s="5">
        <v>71</v>
      </c>
      <c r="PW3" s="5">
        <v>194</v>
      </c>
      <c r="PX3" s="5">
        <v>552</v>
      </c>
      <c r="PY3" s="5">
        <v>70</v>
      </c>
      <c r="PZ3" s="5">
        <v>326</v>
      </c>
      <c r="QA3" s="5">
        <v>76</v>
      </c>
      <c r="QB3" s="5">
        <v>638</v>
      </c>
      <c r="QC3" s="5">
        <v>834</v>
      </c>
      <c r="QD3" s="5">
        <v>233</v>
      </c>
      <c r="QE3" s="5">
        <v>55</v>
      </c>
      <c r="QF3" s="5">
        <v>834</v>
      </c>
      <c r="QG3" s="5">
        <v>153</v>
      </c>
      <c r="QH3" s="5">
        <v>100</v>
      </c>
      <c r="QI3" s="5">
        <v>293</v>
      </c>
      <c r="QJ3" s="5">
        <v>263</v>
      </c>
      <c r="QK3" s="5">
        <v>50</v>
      </c>
      <c r="QL3" s="5">
        <v>830</v>
      </c>
      <c r="QM3" s="5">
        <v>388</v>
      </c>
      <c r="QN3" s="5">
        <v>266</v>
      </c>
      <c r="QO3" s="5">
        <v>300</v>
      </c>
      <c r="QP3" s="5" t="s">
        <v>705</v>
      </c>
      <c r="QQ3" s="5">
        <v>296</v>
      </c>
      <c r="QR3" s="5">
        <v>249</v>
      </c>
      <c r="QS3" s="5">
        <v>251</v>
      </c>
      <c r="QT3" s="5">
        <v>279</v>
      </c>
      <c r="QU3" s="5" t="s">
        <v>705</v>
      </c>
      <c r="QV3" s="5">
        <v>331</v>
      </c>
      <c r="QW3" s="5">
        <v>501</v>
      </c>
      <c r="QX3" s="5">
        <v>260</v>
      </c>
      <c r="QY3" s="5">
        <v>265</v>
      </c>
      <c r="QZ3" s="5" t="s">
        <v>705</v>
      </c>
      <c r="RA3" s="5">
        <v>304</v>
      </c>
      <c r="RB3" s="5">
        <v>1295</v>
      </c>
      <c r="RC3" s="5">
        <v>1352</v>
      </c>
      <c r="RD3" s="5">
        <v>1597</v>
      </c>
      <c r="RE3" s="5">
        <v>1462</v>
      </c>
      <c r="RF3" s="5">
        <v>1388</v>
      </c>
      <c r="RG3" s="5">
        <v>1400</v>
      </c>
      <c r="RH3" s="5">
        <v>1470</v>
      </c>
      <c r="RI3" s="5">
        <v>1332</v>
      </c>
      <c r="RJ3" s="5">
        <v>1569</v>
      </c>
      <c r="RK3" s="5">
        <v>1640</v>
      </c>
      <c r="RL3" s="5"/>
      <c r="RM3" s="5">
        <v>1468</v>
      </c>
      <c r="RN3" s="5">
        <v>1551</v>
      </c>
      <c r="RO3" s="5">
        <v>1500</v>
      </c>
      <c r="RP3" s="5">
        <v>1535</v>
      </c>
      <c r="RQ3" s="5">
        <v>1460</v>
      </c>
      <c r="RR3" s="5">
        <v>1312</v>
      </c>
      <c r="RS3" s="5">
        <v>1516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E11"/>
  <sheetViews>
    <sheetView zoomScale="90" zoomScaleNormal="90" workbookViewId="0">
      <selection activeCell="F25" sqref="F25"/>
    </sheetView>
  </sheetViews>
  <sheetFormatPr defaultRowHeight="13.7"/>
  <cols>
    <col min="2" max="2" width="14.37890625" customWidth="1"/>
    <col min="3" max="4" width="10.6171875" customWidth="1"/>
    <col min="5" max="5" width="11.7109375" customWidth="1"/>
  </cols>
  <sheetData>
    <row r="2" spans="2:5">
      <c r="C2" s="6" t="s">
        <v>771</v>
      </c>
      <c r="D2" s="6" t="s">
        <v>772</v>
      </c>
      <c r="E2" s="6" t="s">
        <v>782</v>
      </c>
    </row>
    <row r="3" spans="2:5">
      <c r="B3" s="31" t="s">
        <v>780</v>
      </c>
      <c r="C3" s="4">
        <v>2</v>
      </c>
      <c r="D3" s="4">
        <v>10</v>
      </c>
      <c r="E3" s="4"/>
    </row>
    <row r="4" spans="2:5">
      <c r="B4" s="31" t="s">
        <v>781</v>
      </c>
      <c r="C4" s="4">
        <v>2</v>
      </c>
      <c r="D4" s="4">
        <v>10</v>
      </c>
      <c r="E4" s="4"/>
    </row>
    <row r="5" spans="2:5">
      <c r="B5" s="31" t="s">
        <v>773</v>
      </c>
      <c r="C5" s="48">
        <v>4</v>
      </c>
      <c r="D5" s="48">
        <v>14</v>
      </c>
      <c r="E5" s="49">
        <v>0.45</v>
      </c>
    </row>
    <row r="6" spans="2:5">
      <c r="B6" s="31" t="s">
        <v>777</v>
      </c>
      <c r="C6" s="4">
        <v>6.5</v>
      </c>
      <c r="D6" s="4">
        <v>17</v>
      </c>
      <c r="E6" s="50">
        <v>0.6</v>
      </c>
    </row>
    <row r="7" spans="2:5">
      <c r="B7" s="31" t="s">
        <v>778</v>
      </c>
      <c r="C7" s="4">
        <v>8.5</v>
      </c>
      <c r="D7" s="4">
        <v>19</v>
      </c>
      <c r="E7" s="50">
        <v>0.7</v>
      </c>
    </row>
    <row r="8" spans="2:5">
      <c r="B8" s="31" t="s">
        <v>779</v>
      </c>
      <c r="C8" s="4">
        <v>9</v>
      </c>
      <c r="D8" s="4">
        <v>18</v>
      </c>
      <c r="E8" s="50">
        <v>1</v>
      </c>
    </row>
    <row r="9" spans="2:5">
      <c r="B9" s="31" t="s">
        <v>774</v>
      </c>
      <c r="C9" s="4">
        <v>14</v>
      </c>
      <c r="D9" s="4">
        <v>32</v>
      </c>
      <c r="E9" s="50">
        <v>2</v>
      </c>
    </row>
    <row r="10" spans="2:5">
      <c r="B10" s="31" t="s">
        <v>775</v>
      </c>
      <c r="C10" s="4">
        <v>15</v>
      </c>
      <c r="D10" s="4">
        <v>22</v>
      </c>
      <c r="E10" s="50">
        <v>1.25</v>
      </c>
    </row>
    <row r="11" spans="2:5">
      <c r="B11" s="31" t="s">
        <v>776</v>
      </c>
      <c r="C11" s="4">
        <v>0.7</v>
      </c>
      <c r="D11" s="4">
        <v>8</v>
      </c>
      <c r="E11" s="50">
        <v>0.1</v>
      </c>
    </row>
  </sheetData>
  <conditionalFormatting sqref="C6:D11">
    <cfRule type="expression" dxfId="4" priority="15" stopIfTrue="1">
      <formula>$AA5="PASS"</formula>
    </cfRule>
    <cfRule type="expression" dxfId="3" priority="16" stopIfTrue="1">
      <formula>$AB5="PASS"</formula>
    </cfRule>
  </conditionalFormatting>
  <conditionalFormatting sqref="C3:E3">
    <cfRule type="expression" dxfId="2" priority="17" stopIfTrue="1">
      <formula>#REF!="PASS"</formula>
    </cfRule>
  </conditionalFormatting>
  <conditionalFormatting sqref="C4:E5">
    <cfRule type="expression" dxfId="1" priority="5" stopIfTrue="1">
      <formula>$AA3="PASS"</formula>
    </cfRule>
    <cfRule type="expression" dxfId="0" priority="6" stopIfTrue="1">
      <formula>$AB3="PASS"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ZBC-Main Page</vt:lpstr>
      <vt:lpstr>Input_Data</vt:lpstr>
      <vt:lpstr>Guidelines</vt:lpstr>
      <vt:lpstr>Master Sheet</vt:lpstr>
      <vt:lpstr>ZBC-Calculations</vt:lpstr>
      <vt:lpstr>Search Index</vt:lpstr>
      <vt:lpstr>Distance Matrix</vt:lpstr>
      <vt:lpstr>Vehicle types</vt:lpstr>
    </vt:vector>
  </TitlesOfParts>
  <Company>Deloitte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mgulati@DELOITTE.com</dc:creator>
  <cp:lastModifiedBy>Amritpal Raheja (IND)</cp:lastModifiedBy>
  <dcterms:created xsi:type="dcterms:W3CDTF">2011-03-15T11:13:56Z</dcterms:created>
  <dcterms:modified xsi:type="dcterms:W3CDTF">2026-07-01T08:05:40Z</dcterms:modified>
</cp:coreProperties>
</file>