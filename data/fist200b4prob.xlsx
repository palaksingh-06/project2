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ika.garg\Downloads\"/>
    </mc:Choice>
  </mc:AlternateContent>
  <xr:revisionPtr revIDLastSave="0" documentId="13_ncr:1_{AC1858E5-6496-4274-BE84-8DDF384BA50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atch Trip C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4" i="1" l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3" i="1"/>
  <c r="AI4" i="1"/>
  <c r="AI5" i="1"/>
  <c r="AI6" i="1"/>
  <c r="AI7" i="1"/>
  <c r="AI8" i="1"/>
  <c r="AI9" i="1"/>
  <c r="AI10" i="1"/>
  <c r="AI11" i="1"/>
  <c r="AI12" i="1"/>
  <c r="AI13" i="1"/>
  <c r="AI2" i="1"/>
  <c r="AE2" i="1"/>
  <c r="AE3" i="1"/>
  <c r="AK47" i="1"/>
  <c r="AK59" i="1"/>
  <c r="AK83" i="1"/>
  <c r="AK119" i="1"/>
  <c r="AK130" i="1"/>
  <c r="AK131" i="1"/>
  <c r="AK179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K19" i="1" s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" i="1"/>
  <c r="AF2" i="1"/>
  <c r="AF3" i="1"/>
  <c r="AG3" i="1" s="1"/>
  <c r="AG51" i="1"/>
  <c r="AG146" i="1"/>
  <c r="AG147" i="1"/>
  <c r="AG170" i="1"/>
  <c r="AG171" i="1"/>
  <c r="AG2" i="1"/>
  <c r="AF132" i="1"/>
  <c r="AG132" i="1" s="1"/>
  <c r="AE4" i="1"/>
  <c r="AF4" i="1" s="1"/>
  <c r="AG4" i="1" s="1"/>
  <c r="AE5" i="1"/>
  <c r="AF5" i="1" s="1"/>
  <c r="AG5" i="1" s="1"/>
  <c r="AE6" i="1"/>
  <c r="AF6" i="1" s="1"/>
  <c r="AE7" i="1"/>
  <c r="AF7" i="1" s="1"/>
  <c r="AG7" i="1" s="1"/>
  <c r="AE8" i="1"/>
  <c r="AF8" i="1" s="1"/>
  <c r="AG8" i="1" s="1"/>
  <c r="AE9" i="1"/>
  <c r="AF9" i="1" s="1"/>
  <c r="AK9" i="1" s="1"/>
  <c r="AE10" i="1"/>
  <c r="AF10" i="1" s="1"/>
  <c r="AE11" i="1"/>
  <c r="AF11" i="1" s="1"/>
  <c r="AG11" i="1" s="1"/>
  <c r="AE12" i="1"/>
  <c r="AF12" i="1" s="1"/>
  <c r="AG12" i="1" s="1"/>
  <c r="AE13" i="1"/>
  <c r="AF13" i="1" s="1"/>
  <c r="AE14" i="1"/>
  <c r="AF14" i="1" s="1"/>
  <c r="AE15" i="1"/>
  <c r="AF15" i="1" s="1"/>
  <c r="AE16" i="1"/>
  <c r="AF16" i="1" s="1"/>
  <c r="AG16" i="1" s="1"/>
  <c r="AE17" i="1"/>
  <c r="AF17" i="1" s="1"/>
  <c r="AG17" i="1" s="1"/>
  <c r="AE18" i="1"/>
  <c r="AF18" i="1" s="1"/>
  <c r="AE19" i="1"/>
  <c r="AF19" i="1" s="1"/>
  <c r="AG19" i="1" s="1"/>
  <c r="AE20" i="1"/>
  <c r="AF20" i="1" s="1"/>
  <c r="AK20" i="1" s="1"/>
  <c r="AE21" i="1"/>
  <c r="AF21" i="1" s="1"/>
  <c r="AE22" i="1"/>
  <c r="AF22" i="1" s="1"/>
  <c r="AK22" i="1" s="1"/>
  <c r="AE23" i="1"/>
  <c r="AF23" i="1" s="1"/>
  <c r="AG23" i="1" s="1"/>
  <c r="AE24" i="1"/>
  <c r="AF24" i="1" s="1"/>
  <c r="AG24" i="1" s="1"/>
  <c r="AE25" i="1"/>
  <c r="AF25" i="1" s="1"/>
  <c r="AE26" i="1"/>
  <c r="AF26" i="1" s="1"/>
  <c r="AE27" i="1"/>
  <c r="AF27" i="1" s="1"/>
  <c r="AE28" i="1"/>
  <c r="AF28" i="1" s="1"/>
  <c r="AG28" i="1" s="1"/>
  <c r="AE29" i="1"/>
  <c r="AF29" i="1" s="1"/>
  <c r="AG29" i="1" s="1"/>
  <c r="AE30" i="1"/>
  <c r="AF30" i="1" s="1"/>
  <c r="AE31" i="1"/>
  <c r="AF31" i="1" s="1"/>
  <c r="AG31" i="1" s="1"/>
  <c r="AE32" i="1"/>
  <c r="AF32" i="1" s="1"/>
  <c r="AK32" i="1" s="1"/>
  <c r="AE33" i="1"/>
  <c r="AF33" i="1" s="1"/>
  <c r="AK33" i="1" s="1"/>
  <c r="AE34" i="1"/>
  <c r="AF34" i="1" s="1"/>
  <c r="AE35" i="1"/>
  <c r="AF35" i="1" s="1"/>
  <c r="AG35" i="1" s="1"/>
  <c r="AE36" i="1"/>
  <c r="AF36" i="1" s="1"/>
  <c r="AE37" i="1"/>
  <c r="AF37" i="1" s="1"/>
  <c r="AE38" i="1"/>
  <c r="AF38" i="1" s="1"/>
  <c r="AE39" i="1"/>
  <c r="AF39" i="1" s="1"/>
  <c r="AE40" i="1"/>
  <c r="AF40" i="1" s="1"/>
  <c r="AG40" i="1" s="1"/>
  <c r="AE41" i="1"/>
  <c r="AF41" i="1" s="1"/>
  <c r="AG41" i="1" s="1"/>
  <c r="AE42" i="1"/>
  <c r="AF42" i="1" s="1"/>
  <c r="AG42" i="1" s="1"/>
  <c r="AE43" i="1"/>
  <c r="AF43" i="1" s="1"/>
  <c r="AG43" i="1" s="1"/>
  <c r="AE44" i="1"/>
  <c r="AF44" i="1" s="1"/>
  <c r="AG44" i="1" s="1"/>
  <c r="AE45" i="1"/>
  <c r="AF45" i="1" s="1"/>
  <c r="AK45" i="1" s="1"/>
  <c r="AE46" i="1"/>
  <c r="AF46" i="1" s="1"/>
  <c r="AE47" i="1"/>
  <c r="AF47" i="1" s="1"/>
  <c r="AG47" i="1" s="1"/>
  <c r="AE48" i="1"/>
  <c r="AF48" i="1" s="1"/>
  <c r="AG48" i="1" s="1"/>
  <c r="AE49" i="1"/>
  <c r="AF49" i="1" s="1"/>
  <c r="AE50" i="1"/>
  <c r="AF50" i="1" s="1"/>
  <c r="AG50" i="1" s="1"/>
  <c r="AE51" i="1"/>
  <c r="AF51" i="1" s="1"/>
  <c r="AK51" i="1" s="1"/>
  <c r="AE52" i="1"/>
  <c r="AF52" i="1" s="1"/>
  <c r="AG52" i="1" s="1"/>
  <c r="AE53" i="1"/>
  <c r="AF53" i="1" s="1"/>
  <c r="AG53" i="1" s="1"/>
  <c r="AE54" i="1"/>
  <c r="AF54" i="1" s="1"/>
  <c r="AE55" i="1"/>
  <c r="AF55" i="1" s="1"/>
  <c r="AG55" i="1" s="1"/>
  <c r="AE56" i="1"/>
  <c r="AF56" i="1" s="1"/>
  <c r="AK56" i="1" s="1"/>
  <c r="AE57" i="1"/>
  <c r="AF57" i="1" s="1"/>
  <c r="AK57" i="1" s="1"/>
  <c r="AE58" i="1"/>
  <c r="AF58" i="1" s="1"/>
  <c r="AK58" i="1" s="1"/>
  <c r="AE59" i="1"/>
  <c r="AF59" i="1" s="1"/>
  <c r="AG59" i="1" s="1"/>
  <c r="AE60" i="1"/>
  <c r="AF60" i="1" s="1"/>
  <c r="AE61" i="1"/>
  <c r="AF61" i="1" s="1"/>
  <c r="AE62" i="1"/>
  <c r="AF62" i="1" s="1"/>
  <c r="AE63" i="1"/>
  <c r="AF63" i="1" s="1"/>
  <c r="AE64" i="1"/>
  <c r="AF64" i="1" s="1"/>
  <c r="AG64" i="1" s="1"/>
  <c r="AE65" i="1"/>
  <c r="AF65" i="1" s="1"/>
  <c r="AG65" i="1" s="1"/>
  <c r="AE66" i="1"/>
  <c r="AF66" i="1" s="1"/>
  <c r="AE67" i="1"/>
  <c r="AF67" i="1" s="1"/>
  <c r="AG67" i="1" s="1"/>
  <c r="AE68" i="1"/>
  <c r="AF68" i="1" s="1"/>
  <c r="AE69" i="1"/>
  <c r="AF69" i="1" s="1"/>
  <c r="AK69" i="1" s="1"/>
  <c r="AE70" i="1"/>
  <c r="AF70" i="1" s="1"/>
  <c r="AK70" i="1" s="1"/>
  <c r="AE71" i="1"/>
  <c r="AF71" i="1" s="1"/>
  <c r="AG71" i="1" s="1"/>
  <c r="AE72" i="1"/>
  <c r="AF72" i="1" s="1"/>
  <c r="AG72" i="1" s="1"/>
  <c r="AE73" i="1"/>
  <c r="AF73" i="1" s="1"/>
  <c r="AE74" i="1"/>
  <c r="AF74" i="1" s="1"/>
  <c r="AK74" i="1" s="1"/>
  <c r="AE75" i="1"/>
  <c r="AF75" i="1" s="1"/>
  <c r="AK75" i="1" s="1"/>
  <c r="AE76" i="1"/>
  <c r="AF76" i="1" s="1"/>
  <c r="AG76" i="1" s="1"/>
  <c r="AE77" i="1"/>
  <c r="AF77" i="1" s="1"/>
  <c r="AG77" i="1" s="1"/>
  <c r="AE78" i="1"/>
  <c r="AF78" i="1" s="1"/>
  <c r="AE79" i="1"/>
  <c r="AF79" i="1" s="1"/>
  <c r="AG79" i="1" s="1"/>
  <c r="AE80" i="1"/>
  <c r="AF80" i="1" s="1"/>
  <c r="AG80" i="1" s="1"/>
  <c r="AE81" i="1"/>
  <c r="AF81" i="1" s="1"/>
  <c r="AK81" i="1" s="1"/>
  <c r="AE82" i="1"/>
  <c r="AF82" i="1" s="1"/>
  <c r="AK82" i="1" s="1"/>
  <c r="AE83" i="1"/>
  <c r="AF83" i="1" s="1"/>
  <c r="AG83" i="1" s="1"/>
  <c r="AE84" i="1"/>
  <c r="AF84" i="1" s="1"/>
  <c r="AE85" i="1"/>
  <c r="AF85" i="1" s="1"/>
  <c r="AE86" i="1"/>
  <c r="AF86" i="1" s="1"/>
  <c r="AE87" i="1"/>
  <c r="AF87" i="1" s="1"/>
  <c r="AE88" i="1"/>
  <c r="AF88" i="1" s="1"/>
  <c r="AG88" i="1" s="1"/>
  <c r="AE89" i="1"/>
  <c r="AF89" i="1" s="1"/>
  <c r="AG89" i="1" s="1"/>
  <c r="AE90" i="1"/>
  <c r="AF90" i="1" s="1"/>
  <c r="AE91" i="1"/>
  <c r="AF91" i="1" s="1"/>
  <c r="AG91" i="1" s="1"/>
  <c r="AE92" i="1"/>
  <c r="AF92" i="1" s="1"/>
  <c r="AK92" i="1" s="1"/>
  <c r="AE93" i="1"/>
  <c r="AF93" i="1" s="1"/>
  <c r="AE94" i="1"/>
  <c r="AF94" i="1" s="1"/>
  <c r="AE95" i="1"/>
  <c r="AF95" i="1" s="1"/>
  <c r="AG95" i="1" s="1"/>
  <c r="AE96" i="1"/>
  <c r="AF96" i="1" s="1"/>
  <c r="AG96" i="1" s="1"/>
  <c r="AE97" i="1"/>
  <c r="AF97" i="1" s="1"/>
  <c r="AE98" i="1"/>
  <c r="AF98" i="1" s="1"/>
  <c r="AK98" i="1" s="1"/>
  <c r="AE99" i="1"/>
  <c r="AF99" i="1" s="1"/>
  <c r="AK99" i="1" s="1"/>
  <c r="AE100" i="1"/>
  <c r="AF100" i="1" s="1"/>
  <c r="AG100" i="1" s="1"/>
  <c r="AE101" i="1"/>
  <c r="AF101" i="1" s="1"/>
  <c r="AG101" i="1" s="1"/>
  <c r="AE102" i="1"/>
  <c r="AF102" i="1" s="1"/>
  <c r="AE103" i="1"/>
  <c r="AF103" i="1" s="1"/>
  <c r="AG103" i="1" s="1"/>
  <c r="AE104" i="1"/>
  <c r="AF104" i="1" s="1"/>
  <c r="AK104" i="1" s="1"/>
  <c r="AE105" i="1"/>
  <c r="AF105" i="1" s="1"/>
  <c r="AK105" i="1" s="1"/>
  <c r="AE106" i="1"/>
  <c r="AF106" i="1" s="1"/>
  <c r="AK106" i="1" s="1"/>
  <c r="AE107" i="1"/>
  <c r="AF107" i="1" s="1"/>
  <c r="AG107" i="1" s="1"/>
  <c r="AE108" i="1"/>
  <c r="AF108" i="1" s="1"/>
  <c r="AE109" i="1"/>
  <c r="AF109" i="1" s="1"/>
  <c r="AE110" i="1"/>
  <c r="AF110" i="1" s="1"/>
  <c r="AE111" i="1"/>
  <c r="AF111" i="1" s="1"/>
  <c r="AE112" i="1"/>
  <c r="AF112" i="1" s="1"/>
  <c r="AG112" i="1" s="1"/>
  <c r="AE113" i="1"/>
  <c r="AF113" i="1" s="1"/>
  <c r="AG113" i="1" s="1"/>
  <c r="AE114" i="1"/>
  <c r="AF114" i="1" s="1"/>
  <c r="AE115" i="1"/>
  <c r="AF115" i="1" s="1"/>
  <c r="AG115" i="1" s="1"/>
  <c r="AE116" i="1"/>
  <c r="AF116" i="1" s="1"/>
  <c r="AG116" i="1" s="1"/>
  <c r="AE117" i="1"/>
  <c r="AF117" i="1" s="1"/>
  <c r="AK117" i="1" s="1"/>
  <c r="AE118" i="1"/>
  <c r="AF118" i="1" s="1"/>
  <c r="AG118" i="1" s="1"/>
  <c r="AE119" i="1"/>
  <c r="AF119" i="1" s="1"/>
  <c r="AG119" i="1" s="1"/>
  <c r="AE120" i="1"/>
  <c r="AF120" i="1" s="1"/>
  <c r="AG120" i="1" s="1"/>
  <c r="AE121" i="1"/>
  <c r="AF121" i="1" s="1"/>
  <c r="AE122" i="1"/>
  <c r="AF122" i="1" s="1"/>
  <c r="AK122" i="1" s="1"/>
  <c r="AE123" i="1"/>
  <c r="AF123" i="1" s="1"/>
  <c r="AK123" i="1" s="1"/>
  <c r="AE124" i="1"/>
  <c r="AF124" i="1" s="1"/>
  <c r="AG124" i="1" s="1"/>
  <c r="AE125" i="1"/>
  <c r="AF125" i="1" s="1"/>
  <c r="AG125" i="1" s="1"/>
  <c r="AE126" i="1"/>
  <c r="AF126" i="1" s="1"/>
  <c r="AE127" i="1"/>
  <c r="AF127" i="1" s="1"/>
  <c r="AG127" i="1" s="1"/>
  <c r="AE128" i="1"/>
  <c r="AF128" i="1" s="1"/>
  <c r="AK128" i="1" s="1"/>
  <c r="AE129" i="1"/>
  <c r="AF129" i="1" s="1"/>
  <c r="AK129" i="1" s="1"/>
  <c r="AE130" i="1"/>
  <c r="AF130" i="1" s="1"/>
  <c r="AG130" i="1" s="1"/>
  <c r="AE131" i="1"/>
  <c r="AF131" i="1" s="1"/>
  <c r="AG131" i="1" s="1"/>
  <c r="AE132" i="1"/>
  <c r="AE133" i="1"/>
  <c r="AF133" i="1" s="1"/>
  <c r="AE134" i="1"/>
  <c r="AF134" i="1" s="1"/>
  <c r="AE135" i="1"/>
  <c r="AF135" i="1" s="1"/>
  <c r="AE136" i="1"/>
  <c r="AF136" i="1" s="1"/>
  <c r="AG136" i="1" s="1"/>
  <c r="AE137" i="1"/>
  <c r="AF137" i="1" s="1"/>
  <c r="AG137" i="1" s="1"/>
  <c r="AE138" i="1"/>
  <c r="AF138" i="1" s="1"/>
  <c r="AE139" i="1"/>
  <c r="AF139" i="1" s="1"/>
  <c r="AG139" i="1" s="1"/>
  <c r="AE140" i="1"/>
  <c r="AF140" i="1" s="1"/>
  <c r="AK140" i="1" s="1"/>
  <c r="AE141" i="1"/>
  <c r="AF141" i="1" s="1"/>
  <c r="AK141" i="1" s="1"/>
  <c r="AE142" i="1"/>
  <c r="AF142" i="1" s="1"/>
  <c r="AK142" i="1" s="1"/>
  <c r="AE143" i="1"/>
  <c r="AF143" i="1" s="1"/>
  <c r="AG143" i="1" s="1"/>
  <c r="AE144" i="1"/>
  <c r="AF144" i="1" s="1"/>
  <c r="AG144" i="1" s="1"/>
  <c r="AE145" i="1"/>
  <c r="AF145" i="1" s="1"/>
  <c r="AE146" i="1"/>
  <c r="AF146" i="1" s="1"/>
  <c r="AK146" i="1" s="1"/>
  <c r="AE147" i="1"/>
  <c r="AF147" i="1" s="1"/>
  <c r="AK147" i="1" s="1"/>
  <c r="AE148" i="1"/>
  <c r="AF148" i="1" s="1"/>
  <c r="AG148" i="1" s="1"/>
  <c r="AE149" i="1"/>
  <c r="AF149" i="1" s="1"/>
  <c r="AG149" i="1" s="1"/>
  <c r="AE150" i="1"/>
  <c r="AF150" i="1" s="1"/>
  <c r="AE151" i="1"/>
  <c r="AF151" i="1" s="1"/>
  <c r="AG151" i="1" s="1"/>
  <c r="AE152" i="1"/>
  <c r="AF152" i="1" s="1"/>
  <c r="AK152" i="1" s="1"/>
  <c r="AE153" i="1"/>
  <c r="AF153" i="1" s="1"/>
  <c r="AK153" i="1" s="1"/>
  <c r="AE154" i="1"/>
  <c r="AF154" i="1" s="1"/>
  <c r="AG154" i="1" s="1"/>
  <c r="AE155" i="1"/>
  <c r="AF155" i="1" s="1"/>
  <c r="AG155" i="1" s="1"/>
  <c r="AE156" i="1"/>
  <c r="AF156" i="1" s="1"/>
  <c r="AE157" i="1"/>
  <c r="AF157" i="1" s="1"/>
  <c r="AE158" i="1"/>
  <c r="AF158" i="1" s="1"/>
  <c r="AE159" i="1"/>
  <c r="AF159" i="1" s="1"/>
  <c r="AE160" i="1"/>
  <c r="AF160" i="1" s="1"/>
  <c r="AG160" i="1" s="1"/>
  <c r="AE161" i="1"/>
  <c r="AF161" i="1" s="1"/>
  <c r="AG161" i="1" s="1"/>
  <c r="AE162" i="1"/>
  <c r="AF162" i="1" s="1"/>
  <c r="AE163" i="1"/>
  <c r="AF163" i="1" s="1"/>
  <c r="AG163" i="1" s="1"/>
  <c r="AE164" i="1"/>
  <c r="AF164" i="1" s="1"/>
  <c r="AG164" i="1" s="1"/>
  <c r="AE165" i="1"/>
  <c r="AF165" i="1" s="1"/>
  <c r="AK165" i="1" s="1"/>
  <c r="AE166" i="1"/>
  <c r="AF166" i="1" s="1"/>
  <c r="AG166" i="1" s="1"/>
  <c r="AE167" i="1"/>
  <c r="AF167" i="1" s="1"/>
  <c r="AG167" i="1" s="1"/>
  <c r="AE168" i="1"/>
  <c r="AF168" i="1" s="1"/>
  <c r="AG168" i="1" s="1"/>
  <c r="AE169" i="1"/>
  <c r="AF169" i="1" s="1"/>
  <c r="AE170" i="1"/>
  <c r="AF170" i="1" s="1"/>
  <c r="AK170" i="1" s="1"/>
  <c r="AE171" i="1"/>
  <c r="AF171" i="1" s="1"/>
  <c r="AK171" i="1" s="1"/>
  <c r="AE172" i="1"/>
  <c r="AF172" i="1" s="1"/>
  <c r="AG172" i="1" s="1"/>
  <c r="AE173" i="1"/>
  <c r="AF173" i="1" s="1"/>
  <c r="AG173" i="1" s="1"/>
  <c r="AE174" i="1"/>
  <c r="AF174" i="1" s="1"/>
  <c r="AE175" i="1"/>
  <c r="AF175" i="1" s="1"/>
  <c r="AG175" i="1" s="1"/>
  <c r="AE176" i="1"/>
  <c r="AF176" i="1" s="1"/>
  <c r="AG176" i="1" s="1"/>
  <c r="AE177" i="1"/>
  <c r="AF177" i="1" s="1"/>
  <c r="AK177" i="1" s="1"/>
  <c r="AE178" i="1"/>
  <c r="AF178" i="1" s="1"/>
  <c r="AG178" i="1" s="1"/>
  <c r="AE179" i="1"/>
  <c r="AF179" i="1" s="1"/>
  <c r="AG179" i="1" s="1"/>
  <c r="AE180" i="1"/>
  <c r="AF180" i="1" s="1"/>
  <c r="AE181" i="1"/>
  <c r="AF181" i="1" s="1"/>
  <c r="AE182" i="1"/>
  <c r="AF182" i="1" s="1"/>
  <c r="AE183" i="1"/>
  <c r="AF183" i="1" s="1"/>
  <c r="AE184" i="1"/>
  <c r="AF184" i="1" s="1"/>
  <c r="AG184" i="1" s="1"/>
  <c r="AE185" i="1"/>
  <c r="AF185" i="1" s="1"/>
  <c r="AG185" i="1" s="1"/>
  <c r="AE186" i="1"/>
  <c r="AF186" i="1" s="1"/>
  <c r="AG186" i="1" s="1"/>
  <c r="AE187" i="1"/>
  <c r="AF187" i="1" s="1"/>
  <c r="AG187" i="1" s="1"/>
  <c r="AE188" i="1"/>
  <c r="AF188" i="1" s="1"/>
  <c r="AG188" i="1" s="1"/>
  <c r="AE189" i="1"/>
  <c r="AF189" i="1" s="1"/>
  <c r="AK189" i="1" s="1"/>
  <c r="AE190" i="1"/>
  <c r="AF190" i="1" s="1"/>
  <c r="AK190" i="1" s="1"/>
  <c r="AE191" i="1"/>
  <c r="AF191" i="1" s="1"/>
  <c r="AG191" i="1" s="1"/>
  <c r="AE192" i="1"/>
  <c r="AF192" i="1" s="1"/>
  <c r="AG192" i="1" s="1"/>
  <c r="AE193" i="1"/>
  <c r="AF193" i="1" s="1"/>
  <c r="AE194" i="1"/>
  <c r="AF194" i="1" s="1"/>
  <c r="AK194" i="1" s="1"/>
  <c r="AE195" i="1"/>
  <c r="AF195" i="1" s="1"/>
  <c r="AK195" i="1" s="1"/>
  <c r="AE196" i="1"/>
  <c r="AF196" i="1" s="1"/>
  <c r="AG196" i="1" s="1"/>
  <c r="AE197" i="1"/>
  <c r="AF197" i="1" s="1"/>
  <c r="AG197" i="1" s="1"/>
  <c r="AE198" i="1"/>
  <c r="AF198" i="1" s="1"/>
  <c r="AE199" i="1"/>
  <c r="AF199" i="1" s="1"/>
  <c r="AG199" i="1" s="1"/>
  <c r="AE200" i="1"/>
  <c r="AF200" i="1" s="1"/>
  <c r="AK200" i="1" s="1"/>
  <c r="AK68" i="1" l="1"/>
  <c r="AK176" i="1"/>
  <c r="AK164" i="1"/>
  <c r="AK116" i="1"/>
  <c r="AK80" i="1"/>
  <c r="AK44" i="1"/>
  <c r="AG68" i="1"/>
  <c r="AG152" i="1"/>
  <c r="AG56" i="1"/>
  <c r="AK91" i="1"/>
  <c r="AK199" i="1"/>
  <c r="AK175" i="1"/>
  <c r="AK163" i="1"/>
  <c r="AK115" i="1"/>
  <c r="AK103" i="1"/>
  <c r="AK79" i="1"/>
  <c r="AK67" i="1"/>
  <c r="AK43" i="1"/>
  <c r="AK31" i="1"/>
  <c r="AK7" i="1"/>
  <c r="AG140" i="1"/>
  <c r="AK188" i="1"/>
  <c r="AK55" i="1"/>
  <c r="AG200" i="1"/>
  <c r="AG128" i="1"/>
  <c r="AG20" i="1"/>
  <c r="AK187" i="1"/>
  <c r="AG194" i="1"/>
  <c r="AK192" i="1"/>
  <c r="AK144" i="1"/>
  <c r="AK120" i="1"/>
  <c r="AK96" i="1"/>
  <c r="AK72" i="1"/>
  <c r="AK48" i="1"/>
  <c r="AK24" i="1"/>
  <c r="AK12" i="1"/>
  <c r="AG104" i="1"/>
  <c r="AK191" i="1"/>
  <c r="AK155" i="1"/>
  <c r="AK107" i="1"/>
  <c r="AK95" i="1"/>
  <c r="AK71" i="1"/>
  <c r="AK35" i="1"/>
  <c r="AK23" i="1"/>
  <c r="AK11" i="1"/>
  <c r="AG99" i="1"/>
  <c r="AK151" i="1"/>
  <c r="AG92" i="1"/>
  <c r="AK8" i="1"/>
  <c r="AG98" i="1"/>
  <c r="AK143" i="1"/>
  <c r="AK94" i="1"/>
  <c r="AG94" i="1"/>
  <c r="AK178" i="1"/>
  <c r="AK118" i="1"/>
  <c r="AK198" i="1"/>
  <c r="AG198" i="1"/>
  <c r="AK186" i="1"/>
  <c r="AK174" i="1"/>
  <c r="AG174" i="1"/>
  <c r="AK162" i="1"/>
  <c r="AG162" i="1"/>
  <c r="AK150" i="1"/>
  <c r="AG150" i="1"/>
  <c r="AK138" i="1"/>
  <c r="AK126" i="1"/>
  <c r="AG126" i="1"/>
  <c r="AK114" i="1"/>
  <c r="AG114" i="1"/>
  <c r="AK102" i="1"/>
  <c r="AG102" i="1"/>
  <c r="AK90" i="1"/>
  <c r="AG90" i="1"/>
  <c r="AK78" i="1"/>
  <c r="AG78" i="1"/>
  <c r="AK66" i="1"/>
  <c r="AG66" i="1"/>
  <c r="AK54" i="1"/>
  <c r="AG54" i="1"/>
  <c r="AK42" i="1"/>
  <c r="AK30" i="1"/>
  <c r="AK18" i="1"/>
  <c r="AK6" i="1"/>
  <c r="AG138" i="1"/>
  <c r="AK166" i="1"/>
  <c r="AG82" i="1"/>
  <c r="AG30" i="1"/>
  <c r="AK34" i="1"/>
  <c r="AG34" i="1"/>
  <c r="AK10" i="1"/>
  <c r="AG10" i="1"/>
  <c r="AG190" i="1"/>
  <c r="AG142" i="1"/>
  <c r="AK154" i="1"/>
  <c r="AK183" i="1"/>
  <c r="AG183" i="1"/>
  <c r="AK159" i="1"/>
  <c r="AG159" i="1"/>
  <c r="AK135" i="1"/>
  <c r="AG135" i="1"/>
  <c r="AK111" i="1"/>
  <c r="AG111" i="1"/>
  <c r="AK87" i="1"/>
  <c r="AG87" i="1"/>
  <c r="AK63" i="1"/>
  <c r="AG63" i="1"/>
  <c r="AK39" i="1"/>
  <c r="AG39" i="1"/>
  <c r="AK27" i="1"/>
  <c r="AG27" i="1"/>
  <c r="AK15" i="1"/>
  <c r="AG15" i="1"/>
  <c r="AG123" i="1"/>
  <c r="AG75" i="1"/>
  <c r="AG22" i="1"/>
  <c r="AK182" i="1"/>
  <c r="AG182" i="1"/>
  <c r="AK158" i="1"/>
  <c r="AG158" i="1"/>
  <c r="AK134" i="1"/>
  <c r="AG134" i="1"/>
  <c r="AK110" i="1"/>
  <c r="AG110" i="1"/>
  <c r="AK86" i="1"/>
  <c r="AG86" i="1"/>
  <c r="AK62" i="1"/>
  <c r="AG62" i="1"/>
  <c r="AK38" i="1"/>
  <c r="AG38" i="1"/>
  <c r="AK26" i="1"/>
  <c r="AG26" i="1"/>
  <c r="AK14" i="1"/>
  <c r="AG14" i="1"/>
  <c r="AG122" i="1"/>
  <c r="AG74" i="1"/>
  <c r="AG70" i="1"/>
  <c r="AG18" i="1"/>
  <c r="AG195" i="1"/>
  <c r="AG106" i="1"/>
  <c r="AG58" i="1"/>
  <c r="AG6" i="1"/>
  <c r="AK2" i="1"/>
  <c r="AK127" i="1"/>
  <c r="AK197" i="1"/>
  <c r="AK173" i="1"/>
  <c r="AK161" i="1"/>
  <c r="AK137" i="1"/>
  <c r="AK113" i="1"/>
  <c r="AK89" i="1"/>
  <c r="AK65" i="1"/>
  <c r="AK41" i="1"/>
  <c r="AK17" i="1"/>
  <c r="AK157" i="1"/>
  <c r="AK109" i="1"/>
  <c r="AK25" i="1"/>
  <c r="AK185" i="1"/>
  <c r="AK149" i="1"/>
  <c r="AK125" i="1"/>
  <c r="AK101" i="1"/>
  <c r="AK77" i="1"/>
  <c r="AK53" i="1"/>
  <c r="AK29" i="1"/>
  <c r="AK5" i="1"/>
  <c r="AK193" i="1"/>
  <c r="AK181" i="1"/>
  <c r="AK169" i="1"/>
  <c r="AK145" i="1"/>
  <c r="AK133" i="1"/>
  <c r="AK121" i="1"/>
  <c r="AK97" i="1"/>
  <c r="AK85" i="1"/>
  <c r="AK73" i="1"/>
  <c r="AK61" i="1"/>
  <c r="AK37" i="1"/>
  <c r="AK13" i="1"/>
  <c r="AK196" i="1"/>
  <c r="AK184" i="1"/>
  <c r="AK172" i="1"/>
  <c r="AK160" i="1"/>
  <c r="AK148" i="1"/>
  <c r="AK136" i="1"/>
  <c r="AK124" i="1"/>
  <c r="AK112" i="1"/>
  <c r="AK100" i="1"/>
  <c r="AK88" i="1"/>
  <c r="AK76" i="1"/>
  <c r="AK64" i="1"/>
  <c r="AK52" i="1"/>
  <c r="AK40" i="1"/>
  <c r="AK28" i="1"/>
  <c r="AK16" i="1"/>
  <c r="AK4" i="1"/>
  <c r="AK168" i="1"/>
  <c r="AG32" i="1"/>
  <c r="AK167" i="1"/>
  <c r="AK139" i="1"/>
  <c r="AK93" i="1"/>
  <c r="AG93" i="1"/>
  <c r="AK21" i="1"/>
  <c r="AG21" i="1"/>
  <c r="AG46" i="1"/>
  <c r="AK46" i="1"/>
  <c r="AK49" i="1"/>
  <c r="AG49" i="1"/>
  <c r="AG180" i="1"/>
  <c r="AK180" i="1"/>
  <c r="AG156" i="1"/>
  <c r="AK156" i="1"/>
  <c r="AG108" i="1"/>
  <c r="AK108" i="1"/>
  <c r="AG84" i="1"/>
  <c r="AK84" i="1"/>
  <c r="AK60" i="1"/>
  <c r="AG60" i="1"/>
  <c r="AG36" i="1"/>
  <c r="AK36" i="1"/>
  <c r="AG189" i="1"/>
  <c r="AG177" i="1"/>
  <c r="AG165" i="1"/>
  <c r="AG153" i="1"/>
  <c r="AG141" i="1"/>
  <c r="AG129" i="1"/>
  <c r="AG117" i="1"/>
  <c r="AG105" i="1"/>
  <c r="AG81" i="1"/>
  <c r="AG69" i="1"/>
  <c r="AG57" i="1"/>
  <c r="AG45" i="1"/>
  <c r="AG33" i="1"/>
  <c r="AG9" i="1"/>
  <c r="AK132" i="1"/>
  <c r="AG193" i="1"/>
  <c r="AG181" i="1"/>
  <c r="AG169" i="1"/>
  <c r="AG157" i="1"/>
  <c r="AG145" i="1"/>
  <c r="AG133" i="1"/>
  <c r="AG121" i="1"/>
  <c r="AG109" i="1"/>
  <c r="AG97" i="1"/>
  <c r="AG85" i="1"/>
  <c r="AG73" i="1"/>
  <c r="AG61" i="1"/>
  <c r="AG37" i="1"/>
  <c r="AG25" i="1"/>
  <c r="AG13" i="1"/>
  <c r="AK3" i="1"/>
  <c r="AK50" i="1"/>
</calcChain>
</file>

<file path=xl/sharedStrings.xml><?xml version="1.0" encoding="utf-8"?>
<sst xmlns="http://schemas.openxmlformats.org/spreadsheetml/2006/main" count="833" uniqueCount="187">
  <si>
    <t>Row #</t>
  </si>
  <si>
    <t>Truck</t>
  </si>
  <si>
    <t>Origin</t>
  </si>
  <si>
    <t>Destination</t>
  </si>
  <si>
    <t>Distance (km)</t>
  </si>
  <si>
    <t>Trip Days</t>
  </si>
  <si>
    <t>Diesel (₹/L)</t>
  </si>
  <si>
    <t>Diesel State</t>
  </si>
  <si>
    <t>Toll Plazas</t>
  </si>
  <si>
    <t>Fuel Cost (₹)</t>
  </si>
  <si>
    <t>Fuel Cost (%)</t>
  </si>
  <si>
    <t>Driver &amp; Crew (₹)</t>
  </si>
  <si>
    <t>Driver &amp; Crew (%)</t>
  </si>
  <si>
    <t>Vehicle Cost (₹)</t>
  </si>
  <si>
    <t>Vehicle Cost (%)</t>
  </si>
  <si>
    <t>Toll &amp; Permits (₹)</t>
  </si>
  <si>
    <t>Toll &amp; Permits (%)</t>
  </si>
  <si>
    <t>Maintenance &amp; Tyres (₹)</t>
  </si>
  <si>
    <t>Maintenance &amp; Tyres (%)</t>
  </si>
  <si>
    <t>Loading &amp; Unloading (₹)</t>
  </si>
  <si>
    <t>Loading &amp; Unloading (%)</t>
  </si>
  <si>
    <t>Overheads (₹)</t>
  </si>
  <si>
    <t>Overheads (%)</t>
  </si>
  <si>
    <t>Risk &amp; Variability (₹)</t>
  </si>
  <si>
    <t>Risk &amp; Variability (%)</t>
  </si>
  <si>
    <t>Empty Return (Backhaul) (₹)</t>
  </si>
  <si>
    <t>Empty Return (Backhaul) (%)</t>
  </si>
  <si>
    <t>Subtotal (₹)</t>
  </si>
  <si>
    <t>Total (₹)</t>
  </si>
  <si>
    <t>Open Body · 10T · 19ft · 2-Axle</t>
  </si>
  <si>
    <t>Sitarganj, Uttarakhand</t>
  </si>
  <si>
    <t>New Delhi</t>
  </si>
  <si>
    <t>Uttarakhand</t>
  </si>
  <si>
    <t>7.5T LCV (Open) · 7.5T · 14ft · 2-Axle</t>
  </si>
  <si>
    <t>BAHADURGARH</t>
  </si>
  <si>
    <t>BARHANA</t>
  </si>
  <si>
    <t>BAWAL</t>
  </si>
  <si>
    <t>BILASPUR (HR)</t>
  </si>
  <si>
    <t>DHARUHERA</t>
  </si>
  <si>
    <t>GURUGRAM</t>
  </si>
  <si>
    <t>HODAL</t>
  </si>
  <si>
    <t>JATAULI-HR</t>
  </si>
  <si>
    <t>KANINA</t>
  </si>
  <si>
    <t>KOSLI</t>
  </si>
  <si>
    <t>MANESAR</t>
  </si>
  <si>
    <t>MEWAT</t>
  </si>
  <si>
    <t>NARNAUL</t>
  </si>
  <si>
    <t>NUH</t>
  </si>
  <si>
    <t>PALWAL</t>
  </si>
  <si>
    <t>PATAUDI</t>
  </si>
  <si>
    <t>RAI</t>
  </si>
  <si>
    <t>REWARI</t>
  </si>
  <si>
    <t>SOHNA</t>
  </si>
  <si>
    <t>TAURU-HR</t>
  </si>
  <si>
    <t>BHILWARA</t>
  </si>
  <si>
    <t>BHIWADI</t>
  </si>
  <si>
    <t>BORANADA</t>
  </si>
  <si>
    <t>BUNDI</t>
  </si>
  <si>
    <t>CHITTORGARH</t>
  </si>
  <si>
    <t>CHOPANKI</t>
  </si>
  <si>
    <t>DAUSA</t>
  </si>
  <si>
    <t>HANUMANGARH</t>
  </si>
  <si>
    <t>JODHPUR</t>
  </si>
  <si>
    <t>KANKROLI-RJ</t>
  </si>
  <si>
    <t>KHAIRTHAL-RJ</t>
  </si>
  <si>
    <t>KHUSHKHERA</t>
  </si>
  <si>
    <t>KOTA</t>
  </si>
  <si>
    <t>MANDORE-RJ</t>
  </si>
  <si>
    <t>NATHDWARA</t>
  </si>
  <si>
    <t>PURAWATO KA AKOLA-RJ</t>
  </si>
  <si>
    <t>SANGARIYA</t>
  </si>
  <si>
    <t>SANGARIA</t>
  </si>
  <si>
    <t>SHAHJAHANPUR</t>
  </si>
  <si>
    <t>TAPUKARA</t>
  </si>
  <si>
    <t>UDAIPUR</t>
  </si>
  <si>
    <t>BANBASA</t>
  </si>
  <si>
    <t>BAZPUR</t>
  </si>
  <si>
    <t>ALLAHABAD</t>
  </si>
  <si>
    <t>BILASPUR-UP</t>
  </si>
  <si>
    <t>HARDOI</t>
  </si>
  <si>
    <t>PALIA KALAN</t>
  </si>
  <si>
    <t>24ft (Open) · 21T · 24ft · 3-Axle</t>
  </si>
  <si>
    <t>GUNTUR</t>
  </si>
  <si>
    <t>10-Tyre Open · 18T · 22ft · 3-Axle</t>
  </si>
  <si>
    <t>MARKAPUR</t>
  </si>
  <si>
    <t>ARRAH</t>
  </si>
  <si>
    <t>BEGUSARAI</t>
  </si>
  <si>
    <t>DEHRI-ON-SONE</t>
  </si>
  <si>
    <t>20ft (Open) · 15T · 20ft · 2-Axle</t>
  </si>
  <si>
    <t>KISHANGANJ</t>
  </si>
  <si>
    <t>MADHEPURA</t>
  </si>
  <si>
    <t>SASARAM</t>
  </si>
  <si>
    <t>14-Tyre Open · 30T · 28ft · 5-Axle</t>
  </si>
  <si>
    <t>ALANG</t>
  </si>
  <si>
    <t>BHARUCH</t>
  </si>
  <si>
    <t>24ft (Open) · 24T · 24ft · 3-Axle</t>
  </si>
  <si>
    <t>BHAVNAGAR</t>
  </si>
  <si>
    <t>BHUJ</t>
  </si>
  <si>
    <t>LAKADIA</t>
  </si>
  <si>
    <t>BANGANA-HP</t>
  </si>
  <si>
    <t>BARSAR</t>
  </si>
  <si>
    <t>LCV 14ft Light (Open) · 3T · 14ft · 2-Axle</t>
  </si>
  <si>
    <t>DADHOL</t>
  </si>
  <si>
    <t>JASSUR</t>
  </si>
  <si>
    <t>KULLU</t>
  </si>
  <si>
    <t>SHIMLA</t>
  </si>
  <si>
    <t>BALTANA</t>
  </si>
  <si>
    <t>JAGADHARI</t>
  </si>
  <si>
    <t>JHANSA-HR</t>
  </si>
  <si>
    <t>KAITHAL</t>
  </si>
  <si>
    <t>KURUKSHETRA</t>
  </si>
  <si>
    <t>PEHOWA</t>
  </si>
  <si>
    <t>PINJORE</t>
  </si>
  <si>
    <t>PUNDRI-HR</t>
  </si>
  <si>
    <t>YAMUNA NAGAR</t>
  </si>
  <si>
    <t>DEOGHAR</t>
  </si>
  <si>
    <t>HAZARIBAGH</t>
  </si>
  <si>
    <t>OTTAPALAM-KL</t>
  </si>
  <si>
    <t>PALAKKAD</t>
  </si>
  <si>
    <t>32ft (Open) · 27T · 32ft · 4-Axle</t>
  </si>
  <si>
    <t>AKOLA</t>
  </si>
  <si>
    <t>AMRAVATI</t>
  </si>
  <si>
    <t>BHUSAWAL</t>
  </si>
  <si>
    <t>BULDHANA</t>
  </si>
  <si>
    <t>JALGAON</t>
  </si>
  <si>
    <t>JALGAON JAMOD</t>
  </si>
  <si>
    <t>NANDURBAR</t>
  </si>
  <si>
    <t>PAITHAN</t>
  </si>
  <si>
    <t>PARATWADA</t>
  </si>
  <si>
    <t>PARBHANI</t>
  </si>
  <si>
    <t>PHALTAN</t>
  </si>
  <si>
    <t>SANGAMNER</t>
  </si>
  <si>
    <t>SAVDA-MH</t>
  </si>
  <si>
    <t>SHEVGAON-MH</t>
  </si>
  <si>
    <t>SHIRWAL</t>
  </si>
  <si>
    <t>SOLAPUR</t>
  </si>
  <si>
    <t>WARORA</t>
  </si>
  <si>
    <t>WASHIM</t>
  </si>
  <si>
    <t>BALAGHAT</t>
  </si>
  <si>
    <t>BARGAWAN</t>
  </si>
  <si>
    <t>GUNA</t>
  </si>
  <si>
    <t>HOSHANGABAD</t>
  </si>
  <si>
    <t>MANDLA</t>
  </si>
  <si>
    <t>SINGRAULI</t>
  </si>
  <si>
    <t>ROPAR</t>
  </si>
  <si>
    <t>BHADRA</t>
  </si>
  <si>
    <t>KUMBAKONAM</t>
  </si>
  <si>
    <t>PARAMAKUDI</t>
  </si>
  <si>
    <t>VIRUDHUNAGAR</t>
  </si>
  <si>
    <t>AMROHA</t>
  </si>
  <si>
    <t>GAJRAULA</t>
  </si>
  <si>
    <t>JHANSI</t>
  </si>
  <si>
    <t>KHURJA</t>
  </si>
  <si>
    <t>KHUTAR</t>
  </si>
  <si>
    <t>PRATAPGARH</t>
  </si>
  <si>
    <t>SARDHANA</t>
  </si>
  <si>
    <t>24ft (Open) · 20T · 24ft · 3-Axle</t>
  </si>
  <si>
    <t>DEBINAGAR</t>
  </si>
  <si>
    <t>ANANTAPUR</t>
  </si>
  <si>
    <t>ELURU</t>
  </si>
  <si>
    <t>20ft MXL (Open) · 16T · 20ft · 2-Axle</t>
  </si>
  <si>
    <t>KAKINADA</t>
  </si>
  <si>
    <t>KURNOOL</t>
  </si>
  <si>
    <t>NELLORE</t>
  </si>
  <si>
    <t>ONGOLE</t>
  </si>
  <si>
    <t>PILERU</t>
  </si>
  <si>
    <t>PORUMAMILLA</t>
  </si>
  <si>
    <t>PUTTUR-AP</t>
  </si>
  <si>
    <t>TIRUPATI</t>
  </si>
  <si>
    <t>VIJAYAWADA</t>
  </si>
  <si>
    <t>VISAKHAPATNAM</t>
  </si>
  <si>
    <t>GUWAHATI</t>
  </si>
  <si>
    <t>JORHAT</t>
  </si>
  <si>
    <t>KAMRUP</t>
  </si>
  <si>
    <t>LOKHRA-AS</t>
  </si>
  <si>
    <t>SILCHAR</t>
  </si>
  <si>
    <t>TEZPUR</t>
  </si>
  <si>
    <t>TINSUKIA</t>
  </si>
  <si>
    <t>Condition Amount</t>
  </si>
  <si>
    <t>Diff</t>
  </si>
  <si>
    <t>Diff %</t>
  </si>
  <si>
    <t>DIFF % ROUND</t>
  </si>
  <si>
    <t>AURANGABAD</t>
  </si>
  <si>
    <t>Market Rate Est. (₹)</t>
  </si>
  <si>
    <t>old diff-new diff</t>
  </si>
  <si>
    <t>New diff%</t>
  </si>
  <si>
    <t>NEW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</si>
</sst>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name val="Calibri"/>
    </font>
    <font>
      <b/>
      <sz val="11"/>
      <color rgb="FFFFFFFF"/>
      <name val="Calibri"/>
    </font>
    <font>
      <b/>
      <sz val="9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4155"/>
      </patternFill>
    </fill>
    <fill>
      <patternFill patternType="solid">
        <fgColor rgb="FF1F4E79"/>
        <bgColor rgb="FF003366"/>
      </patternFill>
    </fill>
  </fills>
  <borders count="8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/>
      <bottom/>
      <diagonal/>
    </border>
    <border>
      <left style="thin">
        <color rgb="FFD1D5DB"/>
      </left>
      <right style="thin">
        <color rgb="FFD1D5DB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left"/>
    </xf>
    <xf numFmtId="3" fontId="0" fillId="0" borderId="4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0" fontId="2" fillId="3" borderId="0" xfId="0" applyFont="1" applyFill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3" fontId="0" fillId="0" borderId="0" xfId="0" applyNumberFormat="1"/>
    <xf numFmtId="0" fontId="1" fillId="2" borderId="5" xfId="0" applyFont="1" applyFill="1" applyBorder="1" applyAlignment="1">
      <alignment horizontal="center" vertical="center" wrapText="1"/>
    </xf>
    <xf numFmtId="3" fontId="0" fillId="0" borderId="5" xfId="0" applyNumberFormat="1" applyBorder="1" applyAlignment="1">
      <alignment horizontal="right"/>
    </xf>
    <xf numFmtId="0" fontId="1" fillId="2" borderId="7" xfId="0" applyFont="1" applyFill="1" applyBorder="1" applyAlignment="1">
      <alignment horizontal="center" vertical="center" wrapText="1"/>
    </xf>
    <xf numFmtId="3" fontId="0" fillId="0" borderId="0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00"/>
  <sheetViews>
    <sheetView tabSelected="1" topLeftCell="AA1" workbookViewId="0">
      <selection activeCell="AL5" sqref="AL5"/>
    </sheetView>
  </sheetViews>
  <sheetFormatPr defaultRowHeight="14.5" x14ac:dyDescent="0.35"/>
  <cols>
    <col min="1" max="1" width="10.81640625" customWidth="1"/>
    <col min="2" max="2" width="40.81640625" customWidth="1"/>
    <col min="3" max="3" width="24.81640625" customWidth="1"/>
    <col min="4" max="4" width="22.81640625" customWidth="1"/>
    <col min="5" max="5" width="15.81640625" customWidth="1"/>
    <col min="6" max="6" width="11.81640625" customWidth="1"/>
    <col min="7" max="8" width="14.81640625" customWidth="1"/>
    <col min="9" max="9" width="13.81640625" customWidth="1"/>
    <col min="10" max="11" width="15.81640625" customWidth="1"/>
    <col min="12" max="13" width="19.81640625" customWidth="1"/>
    <col min="14" max="15" width="18.81640625" customWidth="1"/>
    <col min="16" max="17" width="20.81640625" customWidth="1"/>
    <col min="18" max="21" width="25.81640625" customWidth="1"/>
    <col min="22" max="23" width="15.81640625" customWidth="1"/>
    <col min="24" max="25" width="24.81640625" customWidth="1"/>
    <col min="26" max="27" width="29.81640625" customWidth="1"/>
    <col min="28" max="28" width="14.81640625" customWidth="1"/>
    <col min="29" max="29" width="11.81640625" customWidth="1"/>
    <col min="33" max="33" width="0" hidden="1" customWidth="1"/>
    <col min="34" max="35" width="15.08984375" customWidth="1"/>
  </cols>
  <sheetData>
    <row r="1" spans="1:37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6" t="s">
        <v>178</v>
      </c>
      <c r="AE1" s="7" t="s">
        <v>179</v>
      </c>
      <c r="AF1" s="7" t="s">
        <v>180</v>
      </c>
      <c r="AG1" s="7" t="s">
        <v>181</v>
      </c>
      <c r="AH1" s="9" t="s">
        <v>183</v>
      </c>
      <c r="AI1" s="11" t="s">
        <v>186</v>
      </c>
      <c r="AJ1" s="11" t="s">
        <v>185</v>
      </c>
      <c r="AK1" s="11" t="s">
        <v>184</v>
      </c>
    </row>
    <row r="2" spans="1:37" x14ac:dyDescent="0.35">
      <c r="A2" s="2">
        <v>1</v>
      </c>
      <c r="B2" s="3" t="s">
        <v>29</v>
      </c>
      <c r="C2" s="3" t="s">
        <v>30</v>
      </c>
      <c r="D2" s="3" t="s">
        <v>31</v>
      </c>
      <c r="E2" s="2">
        <v>390</v>
      </c>
      <c r="F2" s="2">
        <v>1</v>
      </c>
      <c r="G2" s="4">
        <v>95.05</v>
      </c>
      <c r="H2" s="3" t="s">
        <v>32</v>
      </c>
      <c r="I2" s="2">
        <v>0</v>
      </c>
      <c r="J2" s="4">
        <v>8541</v>
      </c>
      <c r="K2" s="5">
        <v>47.8</v>
      </c>
      <c r="L2" s="4">
        <v>1380</v>
      </c>
      <c r="M2" s="5">
        <v>7.7</v>
      </c>
      <c r="N2" s="4">
        <v>2145</v>
      </c>
      <c r="O2" s="5">
        <v>12</v>
      </c>
      <c r="P2" s="4">
        <v>1755</v>
      </c>
      <c r="Q2" s="5">
        <v>9.8000000000000007</v>
      </c>
      <c r="R2" s="4">
        <v>1248</v>
      </c>
      <c r="S2" s="5">
        <v>7</v>
      </c>
      <c r="T2" s="4">
        <v>1350</v>
      </c>
      <c r="U2" s="5">
        <v>7.6</v>
      </c>
      <c r="V2" s="4">
        <v>1100</v>
      </c>
      <c r="W2" s="5">
        <v>6.2</v>
      </c>
      <c r="X2" s="4">
        <v>350</v>
      </c>
      <c r="Y2" s="5">
        <v>2</v>
      </c>
      <c r="Z2" s="4">
        <v>0</v>
      </c>
      <c r="AA2" s="5">
        <v>0</v>
      </c>
      <c r="AB2" s="4">
        <v>17519</v>
      </c>
      <c r="AC2" s="4">
        <v>17869</v>
      </c>
      <c r="AD2">
        <v>15900</v>
      </c>
      <c r="AE2" s="8">
        <f>AC2-AD2</f>
        <v>1969</v>
      </c>
      <c r="AF2">
        <f>AE2/AD2</f>
        <v>0.12383647798742138</v>
      </c>
      <c r="AG2">
        <f>ROUND(AF2,2)</f>
        <v>0.12</v>
      </c>
      <c r="AH2" s="10">
        <v>16082</v>
      </c>
      <c r="AI2" s="12">
        <f>AH2-AD2</f>
        <v>182</v>
      </c>
      <c r="AJ2">
        <f>(AH2-AD2)/AD2</f>
        <v>1.1446540880503144E-2</v>
      </c>
      <c r="AK2">
        <f>AF2-AJ2</f>
        <v>0.11238993710691823</v>
      </c>
    </row>
    <row r="3" spans="1:37" x14ac:dyDescent="0.35">
      <c r="A3" s="2">
        <v>2</v>
      </c>
      <c r="B3" s="3" t="s">
        <v>33</v>
      </c>
      <c r="C3" s="3" t="s">
        <v>30</v>
      </c>
      <c r="D3" s="3" t="s">
        <v>34</v>
      </c>
      <c r="E3" s="2">
        <v>370</v>
      </c>
      <c r="F3" s="2">
        <v>1</v>
      </c>
      <c r="G3" s="4">
        <v>95.05</v>
      </c>
      <c r="H3" s="3" t="s">
        <v>32</v>
      </c>
      <c r="I3" s="2">
        <v>0</v>
      </c>
      <c r="J3" s="4">
        <v>5288</v>
      </c>
      <c r="K3" s="5">
        <v>47.1</v>
      </c>
      <c r="L3" s="4">
        <v>1000</v>
      </c>
      <c r="M3" s="5">
        <v>8.9</v>
      </c>
      <c r="N3" s="4">
        <v>1332</v>
      </c>
      <c r="O3" s="5">
        <v>11.9</v>
      </c>
      <c r="P3" s="4">
        <v>925</v>
      </c>
      <c r="Q3" s="5">
        <v>8.1999999999999993</v>
      </c>
      <c r="R3" s="4">
        <v>851</v>
      </c>
      <c r="S3" s="5">
        <v>7.6</v>
      </c>
      <c r="T3" s="4">
        <v>863</v>
      </c>
      <c r="U3" s="5">
        <v>7.7</v>
      </c>
      <c r="V3" s="4">
        <v>760</v>
      </c>
      <c r="W3" s="5">
        <v>6.8</v>
      </c>
      <c r="X3" s="4">
        <v>220</v>
      </c>
      <c r="Y3" s="5">
        <v>2</v>
      </c>
      <c r="Z3" s="4">
        <v>0</v>
      </c>
      <c r="AA3" s="5">
        <v>0</v>
      </c>
      <c r="AB3" s="4">
        <v>11019</v>
      </c>
      <c r="AC3" s="4">
        <v>11239</v>
      </c>
      <c r="AD3">
        <v>13200</v>
      </c>
      <c r="AE3" s="8">
        <f>AC3-AD3</f>
        <v>-1961</v>
      </c>
      <c r="AF3">
        <f t="shared" ref="AF3:AF33" si="0">AE3/AD3</f>
        <v>-0.14856060606060606</v>
      </c>
      <c r="AG3">
        <f t="shared" ref="AG3:AG66" si="1">ROUND(AF3,2)</f>
        <v>-0.15</v>
      </c>
      <c r="AH3" s="10">
        <v>13487</v>
      </c>
      <c r="AI3" s="12">
        <f t="shared" ref="AI3:AI66" si="2">AH3-AD3</f>
        <v>287</v>
      </c>
      <c r="AJ3">
        <f>(AH3-AD3)/AD3</f>
        <v>2.1742424242424244E-2</v>
      </c>
      <c r="AK3">
        <f>AF3-AJ3</f>
        <v>-0.17030303030303029</v>
      </c>
    </row>
    <row r="4" spans="1:37" x14ac:dyDescent="0.35">
      <c r="A4" s="2">
        <v>3</v>
      </c>
      <c r="B4" s="3" t="s">
        <v>29</v>
      </c>
      <c r="C4" s="3" t="s">
        <v>30</v>
      </c>
      <c r="D4" s="3" t="s">
        <v>34</v>
      </c>
      <c r="E4" s="2">
        <v>370</v>
      </c>
      <c r="F4" s="2">
        <v>1</v>
      </c>
      <c r="G4" s="4">
        <v>95.05</v>
      </c>
      <c r="H4" s="3" t="s">
        <v>32</v>
      </c>
      <c r="I4" s="2">
        <v>0</v>
      </c>
      <c r="J4" s="4">
        <v>8103</v>
      </c>
      <c r="K4" s="5">
        <v>47.2</v>
      </c>
      <c r="L4" s="4">
        <v>1380</v>
      </c>
      <c r="M4" s="5">
        <v>8</v>
      </c>
      <c r="N4" s="4">
        <v>2035</v>
      </c>
      <c r="O4" s="5">
        <v>11.9</v>
      </c>
      <c r="P4" s="4">
        <v>1665</v>
      </c>
      <c r="Q4" s="5">
        <v>9.6999999999999993</v>
      </c>
      <c r="R4" s="4">
        <v>1184</v>
      </c>
      <c r="S4" s="5">
        <v>6.9</v>
      </c>
      <c r="T4" s="4">
        <v>1350</v>
      </c>
      <c r="U4" s="5">
        <v>7.9</v>
      </c>
      <c r="V4" s="4">
        <v>1100</v>
      </c>
      <c r="W4" s="5">
        <v>6.4</v>
      </c>
      <c r="X4" s="4">
        <v>336</v>
      </c>
      <c r="Y4" s="5">
        <v>2</v>
      </c>
      <c r="Z4" s="4">
        <v>0</v>
      </c>
      <c r="AA4" s="5">
        <v>0</v>
      </c>
      <c r="AB4" s="4">
        <v>16817</v>
      </c>
      <c r="AC4" s="4">
        <v>17153</v>
      </c>
      <c r="AD4">
        <v>15000</v>
      </c>
      <c r="AE4" s="8">
        <f t="shared" ref="AE4:AE66" si="3">AC4-AD4</f>
        <v>2153</v>
      </c>
      <c r="AF4">
        <f t="shared" si="0"/>
        <v>0.14353333333333335</v>
      </c>
      <c r="AG4">
        <f t="shared" si="1"/>
        <v>0.14000000000000001</v>
      </c>
      <c r="AH4" s="10">
        <v>20584</v>
      </c>
      <c r="AI4" s="12">
        <f t="shared" si="2"/>
        <v>5584</v>
      </c>
      <c r="AJ4">
        <f>(AH4-AD4)/AD4</f>
        <v>0.37226666666666669</v>
      </c>
      <c r="AK4">
        <f>AF4-AJ4</f>
        <v>-0.22873333333333334</v>
      </c>
    </row>
    <row r="5" spans="1:37" x14ac:dyDescent="0.35">
      <c r="A5" s="2">
        <v>4</v>
      </c>
      <c r="B5" s="3" t="s">
        <v>33</v>
      </c>
      <c r="C5" s="3" t="s">
        <v>30</v>
      </c>
      <c r="D5" s="3" t="s">
        <v>35</v>
      </c>
      <c r="E5" s="2">
        <v>470</v>
      </c>
      <c r="F5" s="2">
        <v>1</v>
      </c>
      <c r="G5" s="4">
        <v>95.05</v>
      </c>
      <c r="H5" s="3" t="s">
        <v>32</v>
      </c>
      <c r="I5" s="2">
        <v>0</v>
      </c>
      <c r="J5" s="4">
        <v>6718</v>
      </c>
      <c r="K5" s="5">
        <v>49.6</v>
      </c>
      <c r="L5" s="4">
        <v>1000</v>
      </c>
      <c r="M5" s="5">
        <v>7.4</v>
      </c>
      <c r="N5" s="4">
        <v>1692</v>
      </c>
      <c r="O5" s="5">
        <v>12.5</v>
      </c>
      <c r="P5" s="4">
        <v>1175</v>
      </c>
      <c r="Q5" s="5">
        <v>8.6999999999999993</v>
      </c>
      <c r="R5" s="4">
        <v>1081</v>
      </c>
      <c r="S5" s="5">
        <v>8</v>
      </c>
      <c r="T5" s="4">
        <v>863</v>
      </c>
      <c r="U5" s="5">
        <v>6.4</v>
      </c>
      <c r="V5" s="4">
        <v>760</v>
      </c>
      <c r="W5" s="5">
        <v>5.6</v>
      </c>
      <c r="X5" s="4">
        <v>266</v>
      </c>
      <c r="Y5" s="5">
        <v>2</v>
      </c>
      <c r="Z5" s="4">
        <v>0</v>
      </c>
      <c r="AA5" s="5">
        <v>0</v>
      </c>
      <c r="AB5" s="4">
        <v>13289</v>
      </c>
      <c r="AC5" s="4">
        <v>13555</v>
      </c>
      <c r="AD5">
        <v>14900</v>
      </c>
      <c r="AE5" s="8">
        <f t="shared" si="3"/>
        <v>-1345</v>
      </c>
      <c r="AF5">
        <f t="shared" si="0"/>
        <v>-9.0268456375838926E-2</v>
      </c>
      <c r="AG5">
        <f t="shared" si="1"/>
        <v>-0.09</v>
      </c>
      <c r="AH5" s="10">
        <v>13555</v>
      </c>
      <c r="AI5" s="12">
        <f t="shared" si="2"/>
        <v>-1345</v>
      </c>
      <c r="AJ5">
        <f>(AH5-AD5)/AD5</f>
        <v>-9.0268456375838926E-2</v>
      </c>
      <c r="AK5">
        <f>AF5-AJ5</f>
        <v>0</v>
      </c>
    </row>
    <row r="6" spans="1:37" x14ac:dyDescent="0.35">
      <c r="A6" s="2">
        <v>5</v>
      </c>
      <c r="B6" s="3" t="s">
        <v>29</v>
      </c>
      <c r="C6" s="3" t="s">
        <v>30</v>
      </c>
      <c r="D6" s="3" t="s">
        <v>35</v>
      </c>
      <c r="E6" s="2">
        <v>470</v>
      </c>
      <c r="F6" s="2">
        <v>1</v>
      </c>
      <c r="G6" s="4">
        <v>95.05</v>
      </c>
      <c r="H6" s="3" t="s">
        <v>32</v>
      </c>
      <c r="I6" s="2">
        <v>0</v>
      </c>
      <c r="J6" s="4">
        <v>10293</v>
      </c>
      <c r="K6" s="5">
        <v>49.6</v>
      </c>
      <c r="L6" s="4">
        <v>1380</v>
      </c>
      <c r="M6" s="5">
        <v>6.7</v>
      </c>
      <c r="N6" s="4">
        <v>2585</v>
      </c>
      <c r="O6" s="5">
        <v>12.5</v>
      </c>
      <c r="P6" s="4">
        <v>2115</v>
      </c>
      <c r="Q6" s="5">
        <v>10.199999999999999</v>
      </c>
      <c r="R6" s="4">
        <v>1504</v>
      </c>
      <c r="S6" s="5">
        <v>7.3</v>
      </c>
      <c r="T6" s="4">
        <v>1350</v>
      </c>
      <c r="U6" s="5">
        <v>6.5</v>
      </c>
      <c r="V6" s="4">
        <v>1100</v>
      </c>
      <c r="W6" s="5">
        <v>5.3</v>
      </c>
      <c r="X6" s="4">
        <v>407</v>
      </c>
      <c r="Y6" s="5">
        <v>2</v>
      </c>
      <c r="Z6" s="4">
        <v>0</v>
      </c>
      <c r="AA6" s="5">
        <v>0</v>
      </c>
      <c r="AB6" s="4">
        <v>20327</v>
      </c>
      <c r="AC6" s="4">
        <v>20734</v>
      </c>
      <c r="AD6">
        <v>15599</v>
      </c>
      <c r="AE6" s="8">
        <f t="shared" si="3"/>
        <v>5135</v>
      </c>
      <c r="AF6">
        <f t="shared" si="0"/>
        <v>0.32918776844669528</v>
      </c>
      <c r="AG6">
        <f t="shared" si="1"/>
        <v>0.33</v>
      </c>
      <c r="AH6" s="10">
        <v>20734</v>
      </c>
      <c r="AI6" s="12">
        <f t="shared" si="2"/>
        <v>5135</v>
      </c>
      <c r="AJ6">
        <f>(AH6-AD6)/AD6</f>
        <v>0.32918776844669528</v>
      </c>
      <c r="AK6">
        <f>AF6-AJ6</f>
        <v>0</v>
      </c>
    </row>
    <row r="7" spans="1:37" x14ac:dyDescent="0.35">
      <c r="A7" s="2">
        <v>6</v>
      </c>
      <c r="B7" s="3" t="s">
        <v>33</v>
      </c>
      <c r="C7" s="3" t="s">
        <v>30</v>
      </c>
      <c r="D7" s="3" t="s">
        <v>36</v>
      </c>
      <c r="E7" s="2">
        <v>480</v>
      </c>
      <c r="F7" s="2">
        <v>1</v>
      </c>
      <c r="G7" s="4">
        <v>95.05</v>
      </c>
      <c r="H7" s="3" t="s">
        <v>32</v>
      </c>
      <c r="I7" s="2">
        <v>0</v>
      </c>
      <c r="J7" s="4">
        <v>6861</v>
      </c>
      <c r="K7" s="5">
        <v>49.8</v>
      </c>
      <c r="L7" s="4">
        <v>1000</v>
      </c>
      <c r="M7" s="5">
        <v>7.3</v>
      </c>
      <c r="N7" s="4">
        <v>1728</v>
      </c>
      <c r="O7" s="5">
        <v>12.5</v>
      </c>
      <c r="P7" s="4">
        <v>1200</v>
      </c>
      <c r="Q7" s="5">
        <v>8.6999999999999993</v>
      </c>
      <c r="R7" s="4">
        <v>1104</v>
      </c>
      <c r="S7" s="5">
        <v>8</v>
      </c>
      <c r="T7" s="4">
        <v>863</v>
      </c>
      <c r="U7" s="5">
        <v>6.3</v>
      </c>
      <c r="V7" s="4">
        <v>760</v>
      </c>
      <c r="W7" s="5">
        <v>5.5</v>
      </c>
      <c r="X7" s="4">
        <v>270</v>
      </c>
      <c r="Y7" s="5">
        <v>2</v>
      </c>
      <c r="Z7" s="4">
        <v>0</v>
      </c>
      <c r="AA7" s="5">
        <v>0</v>
      </c>
      <c r="AB7" s="4">
        <v>13516</v>
      </c>
      <c r="AC7" s="4">
        <v>13786</v>
      </c>
      <c r="AD7">
        <v>14150</v>
      </c>
      <c r="AE7" s="8">
        <f t="shared" si="3"/>
        <v>-364</v>
      </c>
      <c r="AF7">
        <f t="shared" si="0"/>
        <v>-2.5724381625441696E-2</v>
      </c>
      <c r="AG7">
        <f t="shared" si="1"/>
        <v>-0.03</v>
      </c>
      <c r="AH7" s="10">
        <v>13786</v>
      </c>
      <c r="AI7" s="12">
        <f t="shared" si="2"/>
        <v>-364</v>
      </c>
      <c r="AJ7">
        <f>(AH7-AD7)/AD7</f>
        <v>-2.5724381625441696E-2</v>
      </c>
      <c r="AK7">
        <f>AF7-AJ7</f>
        <v>0</v>
      </c>
    </row>
    <row r="8" spans="1:37" x14ac:dyDescent="0.35">
      <c r="A8" s="2">
        <v>7</v>
      </c>
      <c r="B8" s="3" t="s">
        <v>29</v>
      </c>
      <c r="C8" s="3" t="s">
        <v>30</v>
      </c>
      <c r="D8" s="3" t="s">
        <v>36</v>
      </c>
      <c r="E8" s="2">
        <v>480</v>
      </c>
      <c r="F8" s="2">
        <v>1</v>
      </c>
      <c r="G8" s="4">
        <v>95.05</v>
      </c>
      <c r="H8" s="3" t="s">
        <v>32</v>
      </c>
      <c r="I8" s="2">
        <v>0</v>
      </c>
      <c r="J8" s="4">
        <v>10512</v>
      </c>
      <c r="K8" s="5">
        <v>49.8</v>
      </c>
      <c r="L8" s="4">
        <v>1380</v>
      </c>
      <c r="M8" s="5">
        <v>6.5</v>
      </c>
      <c r="N8" s="4">
        <v>2640</v>
      </c>
      <c r="O8" s="5">
        <v>12.5</v>
      </c>
      <c r="P8" s="4">
        <v>2160</v>
      </c>
      <c r="Q8" s="5">
        <v>10.199999999999999</v>
      </c>
      <c r="R8" s="4">
        <v>1536</v>
      </c>
      <c r="S8" s="5">
        <v>7.3</v>
      </c>
      <c r="T8" s="4">
        <v>1350</v>
      </c>
      <c r="U8" s="5">
        <v>6.4</v>
      </c>
      <c r="V8" s="4">
        <v>1100</v>
      </c>
      <c r="W8" s="5">
        <v>5.2</v>
      </c>
      <c r="X8" s="4">
        <v>414</v>
      </c>
      <c r="Y8" s="5">
        <v>2</v>
      </c>
      <c r="Z8" s="4">
        <v>0</v>
      </c>
      <c r="AA8" s="5">
        <v>0</v>
      </c>
      <c r="AB8" s="4">
        <v>20678</v>
      </c>
      <c r="AC8" s="4">
        <v>21092</v>
      </c>
      <c r="AD8">
        <v>14900</v>
      </c>
      <c r="AE8" s="8">
        <f t="shared" si="3"/>
        <v>6192</v>
      </c>
      <c r="AF8">
        <f t="shared" si="0"/>
        <v>0.41557046979865769</v>
      </c>
      <c r="AG8">
        <f t="shared" si="1"/>
        <v>0.42</v>
      </c>
      <c r="AH8" s="10">
        <v>21092</v>
      </c>
      <c r="AI8" s="12">
        <f t="shared" si="2"/>
        <v>6192</v>
      </c>
      <c r="AJ8">
        <f>(AH8-AD8)/AD8</f>
        <v>0.41557046979865769</v>
      </c>
      <c r="AK8">
        <f>AF8-AJ8</f>
        <v>0</v>
      </c>
    </row>
    <row r="9" spans="1:37" x14ac:dyDescent="0.35">
      <c r="A9" s="2">
        <v>8</v>
      </c>
      <c r="B9" s="3" t="s">
        <v>29</v>
      </c>
      <c r="C9" s="3" t="s">
        <v>30</v>
      </c>
      <c r="D9" s="3" t="s">
        <v>37</v>
      </c>
      <c r="E9" s="2">
        <v>240</v>
      </c>
      <c r="F9" s="2">
        <v>1</v>
      </c>
      <c r="G9" s="4">
        <v>95.05</v>
      </c>
      <c r="H9" s="3" t="s">
        <v>32</v>
      </c>
      <c r="I9" s="2">
        <v>0</v>
      </c>
      <c r="J9" s="4">
        <v>5256</v>
      </c>
      <c r="K9" s="5">
        <v>42.1</v>
      </c>
      <c r="L9" s="4">
        <v>1380</v>
      </c>
      <c r="M9" s="5">
        <v>11</v>
      </c>
      <c r="N9" s="4">
        <v>1320</v>
      </c>
      <c r="O9" s="5">
        <v>10.6</v>
      </c>
      <c r="P9" s="4">
        <v>1080</v>
      </c>
      <c r="Q9" s="5">
        <v>8.6</v>
      </c>
      <c r="R9" s="4">
        <v>768</v>
      </c>
      <c r="S9" s="5">
        <v>6.1</v>
      </c>
      <c r="T9" s="4">
        <v>1350</v>
      </c>
      <c r="U9" s="5">
        <v>10.8</v>
      </c>
      <c r="V9" s="4">
        <v>1100</v>
      </c>
      <c r="W9" s="5">
        <v>8.8000000000000007</v>
      </c>
      <c r="X9" s="4">
        <v>245</v>
      </c>
      <c r="Y9" s="5">
        <v>2</v>
      </c>
      <c r="Z9" s="4">
        <v>0</v>
      </c>
      <c r="AA9" s="5">
        <v>0</v>
      </c>
      <c r="AB9" s="4">
        <v>12254</v>
      </c>
      <c r="AC9" s="4">
        <v>12499</v>
      </c>
      <c r="AD9">
        <v>14700</v>
      </c>
      <c r="AE9" s="8">
        <f t="shared" si="3"/>
        <v>-2201</v>
      </c>
      <c r="AF9">
        <f t="shared" si="0"/>
        <v>-0.14972789115646259</v>
      </c>
      <c r="AG9">
        <f t="shared" si="1"/>
        <v>-0.15</v>
      </c>
      <c r="AH9" s="10">
        <v>12499</v>
      </c>
      <c r="AI9" s="12">
        <f t="shared" si="2"/>
        <v>-2201</v>
      </c>
      <c r="AJ9">
        <f>(AH9-AD9)/AD9</f>
        <v>-0.14972789115646259</v>
      </c>
      <c r="AK9">
        <f>AF9-AJ9</f>
        <v>0</v>
      </c>
    </row>
    <row r="10" spans="1:37" x14ac:dyDescent="0.35">
      <c r="A10" s="2">
        <v>9</v>
      </c>
      <c r="B10" s="3" t="s">
        <v>33</v>
      </c>
      <c r="C10" s="3" t="s">
        <v>30</v>
      </c>
      <c r="D10" s="3" t="s">
        <v>38</v>
      </c>
      <c r="E10" s="2">
        <v>480</v>
      </c>
      <c r="F10" s="2">
        <v>1</v>
      </c>
      <c r="G10" s="4">
        <v>95.05</v>
      </c>
      <c r="H10" s="3" t="s">
        <v>32</v>
      </c>
      <c r="I10" s="2">
        <v>0</v>
      </c>
      <c r="J10" s="4">
        <v>6861</v>
      </c>
      <c r="K10" s="5">
        <v>49.8</v>
      </c>
      <c r="L10" s="4">
        <v>1000</v>
      </c>
      <c r="M10" s="5">
        <v>7.3</v>
      </c>
      <c r="N10" s="4">
        <v>1728</v>
      </c>
      <c r="O10" s="5">
        <v>12.5</v>
      </c>
      <c r="P10" s="4">
        <v>1200</v>
      </c>
      <c r="Q10" s="5">
        <v>8.6999999999999993</v>
      </c>
      <c r="R10" s="4">
        <v>1104</v>
      </c>
      <c r="S10" s="5">
        <v>8</v>
      </c>
      <c r="T10" s="4">
        <v>863</v>
      </c>
      <c r="U10" s="5">
        <v>6.3</v>
      </c>
      <c r="V10" s="4">
        <v>760</v>
      </c>
      <c r="W10" s="5">
        <v>5.5</v>
      </c>
      <c r="X10" s="4">
        <v>270</v>
      </c>
      <c r="Y10" s="5">
        <v>2</v>
      </c>
      <c r="Z10" s="4">
        <v>0</v>
      </c>
      <c r="AA10" s="5">
        <v>0</v>
      </c>
      <c r="AB10" s="4">
        <v>13516</v>
      </c>
      <c r="AC10" s="4">
        <v>13786</v>
      </c>
      <c r="AD10">
        <v>14000</v>
      </c>
      <c r="AE10" s="8">
        <f t="shared" si="3"/>
        <v>-214</v>
      </c>
      <c r="AF10">
        <f t="shared" si="0"/>
        <v>-1.5285714285714286E-2</v>
      </c>
      <c r="AG10">
        <f t="shared" si="1"/>
        <v>-0.02</v>
      </c>
      <c r="AH10" s="10">
        <v>13786</v>
      </c>
      <c r="AI10" s="12">
        <f t="shared" si="2"/>
        <v>-214</v>
      </c>
      <c r="AJ10">
        <f>(AH10-AD10)/AD10</f>
        <v>-1.5285714285714286E-2</v>
      </c>
      <c r="AK10">
        <f>AF10-AJ10</f>
        <v>0</v>
      </c>
    </row>
    <row r="11" spans="1:37" x14ac:dyDescent="0.35">
      <c r="A11" s="2">
        <v>10</v>
      </c>
      <c r="B11" s="3" t="s">
        <v>29</v>
      </c>
      <c r="C11" s="3" t="s">
        <v>30</v>
      </c>
      <c r="D11" s="3" t="s">
        <v>38</v>
      </c>
      <c r="E11" s="2">
        <v>480</v>
      </c>
      <c r="F11" s="2">
        <v>1</v>
      </c>
      <c r="G11" s="4">
        <v>95.05</v>
      </c>
      <c r="H11" s="3" t="s">
        <v>32</v>
      </c>
      <c r="I11" s="2">
        <v>0</v>
      </c>
      <c r="J11" s="4">
        <v>10512</v>
      </c>
      <c r="K11" s="5">
        <v>49.8</v>
      </c>
      <c r="L11" s="4">
        <v>1380</v>
      </c>
      <c r="M11" s="5">
        <v>6.5</v>
      </c>
      <c r="N11" s="4">
        <v>2640</v>
      </c>
      <c r="O11" s="5">
        <v>12.5</v>
      </c>
      <c r="P11" s="4">
        <v>2160</v>
      </c>
      <c r="Q11" s="5">
        <v>10.199999999999999</v>
      </c>
      <c r="R11" s="4">
        <v>1536</v>
      </c>
      <c r="S11" s="5">
        <v>7.3</v>
      </c>
      <c r="T11" s="4">
        <v>1350</v>
      </c>
      <c r="U11" s="5">
        <v>6.4</v>
      </c>
      <c r="V11" s="4">
        <v>1100</v>
      </c>
      <c r="W11" s="5">
        <v>5.2</v>
      </c>
      <c r="X11" s="4">
        <v>414</v>
      </c>
      <c r="Y11" s="5">
        <v>2</v>
      </c>
      <c r="Z11" s="4">
        <v>0</v>
      </c>
      <c r="AA11" s="5">
        <v>0</v>
      </c>
      <c r="AB11" s="4">
        <v>20678</v>
      </c>
      <c r="AC11" s="4">
        <v>21092</v>
      </c>
      <c r="AD11">
        <v>14500</v>
      </c>
      <c r="AE11" s="8">
        <f t="shared" si="3"/>
        <v>6592</v>
      </c>
      <c r="AF11">
        <f t="shared" si="0"/>
        <v>0.45462068965517244</v>
      </c>
      <c r="AG11">
        <f t="shared" si="1"/>
        <v>0.45</v>
      </c>
      <c r="AH11" s="10">
        <v>21092</v>
      </c>
      <c r="AI11" s="12">
        <f t="shared" si="2"/>
        <v>6592</v>
      </c>
      <c r="AJ11">
        <f>(AH11-AD11)/AD11</f>
        <v>0.45462068965517244</v>
      </c>
      <c r="AK11">
        <f>AF11-AJ11</f>
        <v>0</v>
      </c>
    </row>
    <row r="12" spans="1:37" x14ac:dyDescent="0.35">
      <c r="A12" s="2">
        <v>11</v>
      </c>
      <c r="B12" s="3" t="s">
        <v>29</v>
      </c>
      <c r="C12" s="3" t="s">
        <v>30</v>
      </c>
      <c r="D12" s="3" t="s">
        <v>39</v>
      </c>
      <c r="E12" s="2">
        <v>410</v>
      </c>
      <c r="F12" s="2">
        <v>1</v>
      </c>
      <c r="G12" s="4">
        <v>95.05</v>
      </c>
      <c r="H12" s="3" t="s">
        <v>32</v>
      </c>
      <c r="I12" s="2">
        <v>0</v>
      </c>
      <c r="J12" s="4">
        <v>8979</v>
      </c>
      <c r="K12" s="5">
        <v>48.3</v>
      </c>
      <c r="L12" s="4">
        <v>1380</v>
      </c>
      <c r="M12" s="5">
        <v>7.4</v>
      </c>
      <c r="N12" s="4">
        <v>2255</v>
      </c>
      <c r="O12" s="5">
        <v>12.1</v>
      </c>
      <c r="P12" s="4">
        <v>1845</v>
      </c>
      <c r="Q12" s="5">
        <v>9.9</v>
      </c>
      <c r="R12" s="4">
        <v>1312</v>
      </c>
      <c r="S12" s="5">
        <v>7.1</v>
      </c>
      <c r="T12" s="4">
        <v>1350</v>
      </c>
      <c r="U12" s="5">
        <v>7.3</v>
      </c>
      <c r="V12" s="4">
        <v>1100</v>
      </c>
      <c r="W12" s="5">
        <v>5.9</v>
      </c>
      <c r="X12" s="4">
        <v>364</v>
      </c>
      <c r="Y12" s="5">
        <v>2</v>
      </c>
      <c r="Z12" s="4">
        <v>0</v>
      </c>
      <c r="AA12" s="5">
        <v>0</v>
      </c>
      <c r="AB12" s="4">
        <v>18221</v>
      </c>
      <c r="AC12" s="4">
        <v>18585</v>
      </c>
      <c r="AD12">
        <v>14700</v>
      </c>
      <c r="AE12" s="8">
        <f t="shared" si="3"/>
        <v>3885</v>
      </c>
      <c r="AF12">
        <f t="shared" si="0"/>
        <v>0.26428571428571429</v>
      </c>
      <c r="AG12">
        <f t="shared" si="1"/>
        <v>0.26</v>
      </c>
      <c r="AH12" s="10">
        <v>16727</v>
      </c>
      <c r="AI12" s="12">
        <f t="shared" si="2"/>
        <v>2027</v>
      </c>
      <c r="AJ12">
        <f>(AH12-AD12)/AD12</f>
        <v>0.13789115646258504</v>
      </c>
      <c r="AK12">
        <f>AF12-AJ12</f>
        <v>0.12639455782312925</v>
      </c>
    </row>
    <row r="13" spans="1:37" x14ac:dyDescent="0.35">
      <c r="A13" s="2">
        <v>12</v>
      </c>
      <c r="B13" s="3" t="s">
        <v>29</v>
      </c>
      <c r="C13" s="3" t="s">
        <v>30</v>
      </c>
      <c r="D13" s="3" t="s">
        <v>40</v>
      </c>
      <c r="E13" s="2">
        <v>440</v>
      </c>
      <c r="F13" s="2">
        <v>1</v>
      </c>
      <c r="G13" s="4">
        <v>95.05</v>
      </c>
      <c r="H13" s="3" t="s">
        <v>32</v>
      </c>
      <c r="I13" s="2">
        <v>0</v>
      </c>
      <c r="J13" s="4">
        <v>9636</v>
      </c>
      <c r="K13" s="5">
        <v>49</v>
      </c>
      <c r="L13" s="4">
        <v>1380</v>
      </c>
      <c r="M13" s="5">
        <v>7</v>
      </c>
      <c r="N13" s="4">
        <v>2420</v>
      </c>
      <c r="O13" s="5">
        <v>12.3</v>
      </c>
      <c r="P13" s="4">
        <v>1980</v>
      </c>
      <c r="Q13" s="5">
        <v>10.1</v>
      </c>
      <c r="R13" s="4">
        <v>1408</v>
      </c>
      <c r="S13" s="5">
        <v>7.2</v>
      </c>
      <c r="T13" s="4">
        <v>1350</v>
      </c>
      <c r="U13" s="5">
        <v>6.9</v>
      </c>
      <c r="V13" s="4">
        <v>1100</v>
      </c>
      <c r="W13" s="5">
        <v>5.6</v>
      </c>
      <c r="X13" s="4">
        <v>385</v>
      </c>
      <c r="Y13" s="5">
        <v>2</v>
      </c>
      <c r="Z13" s="4">
        <v>0</v>
      </c>
      <c r="AA13" s="5">
        <v>0</v>
      </c>
      <c r="AB13" s="4">
        <v>19274</v>
      </c>
      <c r="AC13" s="4">
        <v>19659</v>
      </c>
      <c r="AD13">
        <v>14300</v>
      </c>
      <c r="AE13" s="8">
        <f t="shared" si="3"/>
        <v>5359</v>
      </c>
      <c r="AF13">
        <f t="shared" si="0"/>
        <v>0.37475524475524474</v>
      </c>
      <c r="AG13">
        <f t="shared" si="1"/>
        <v>0.37</v>
      </c>
      <c r="AH13" s="10">
        <v>19659</v>
      </c>
      <c r="AI13" s="12">
        <f t="shared" si="2"/>
        <v>5359</v>
      </c>
      <c r="AJ13">
        <f>(AH13-AD13)/AD13</f>
        <v>0.37475524475524474</v>
      </c>
      <c r="AK13">
        <f>AF13-AJ13</f>
        <v>0</v>
      </c>
    </row>
    <row r="14" spans="1:37" x14ac:dyDescent="0.35">
      <c r="A14" s="2">
        <v>13</v>
      </c>
      <c r="B14" s="3" t="s">
        <v>29</v>
      </c>
      <c r="C14" s="3" t="s">
        <v>30</v>
      </c>
      <c r="D14" s="3" t="s">
        <v>41</v>
      </c>
      <c r="E14" s="2">
        <v>380</v>
      </c>
      <c r="F14" s="2">
        <v>1</v>
      </c>
      <c r="G14" s="4">
        <v>95.05</v>
      </c>
      <c r="H14" s="3" t="s">
        <v>32</v>
      </c>
      <c r="I14" s="2">
        <v>0</v>
      </c>
      <c r="J14" s="4">
        <v>8322</v>
      </c>
      <c r="K14" s="5">
        <v>47.5</v>
      </c>
      <c r="L14" s="4">
        <v>1380</v>
      </c>
      <c r="M14" s="5">
        <v>7.9</v>
      </c>
      <c r="N14" s="4">
        <v>2090</v>
      </c>
      <c r="O14" s="5">
        <v>11.9</v>
      </c>
      <c r="P14" s="4">
        <v>1710</v>
      </c>
      <c r="Q14" s="5">
        <v>9.8000000000000007</v>
      </c>
      <c r="R14" s="4">
        <v>1216</v>
      </c>
      <c r="S14" s="5">
        <v>6.9</v>
      </c>
      <c r="T14" s="4">
        <v>1350</v>
      </c>
      <c r="U14" s="5">
        <v>7.7</v>
      </c>
      <c r="V14" s="4">
        <v>1100</v>
      </c>
      <c r="W14" s="5">
        <v>6.3</v>
      </c>
      <c r="X14" s="4">
        <v>343</v>
      </c>
      <c r="Y14" s="5">
        <v>2</v>
      </c>
      <c r="Z14" s="4">
        <v>0</v>
      </c>
      <c r="AA14" s="5">
        <v>0</v>
      </c>
      <c r="AB14" s="4">
        <v>17168</v>
      </c>
      <c r="AC14" s="4">
        <v>17511</v>
      </c>
      <c r="AD14">
        <v>14500</v>
      </c>
      <c r="AE14" s="8">
        <f t="shared" si="3"/>
        <v>3011</v>
      </c>
      <c r="AF14">
        <f t="shared" si="0"/>
        <v>0.20765517241379311</v>
      </c>
      <c r="AG14">
        <f t="shared" si="1"/>
        <v>0.21</v>
      </c>
      <c r="AH14" s="10">
        <v>17511</v>
      </c>
      <c r="AI14" s="12">
        <f t="shared" si="2"/>
        <v>3011</v>
      </c>
      <c r="AJ14">
        <f>(AH14-AD14)/AD14</f>
        <v>0.20765517241379311</v>
      </c>
      <c r="AK14">
        <f>AF14-AJ14</f>
        <v>0</v>
      </c>
    </row>
    <row r="15" spans="1:37" x14ac:dyDescent="0.35">
      <c r="A15" s="2">
        <v>14</v>
      </c>
      <c r="B15" s="3" t="s">
        <v>33</v>
      </c>
      <c r="C15" s="3" t="s">
        <v>30</v>
      </c>
      <c r="D15" s="3" t="s">
        <v>42</v>
      </c>
      <c r="E15" s="2">
        <v>440</v>
      </c>
      <c r="F15" s="2">
        <v>1</v>
      </c>
      <c r="G15" s="4">
        <v>95.05</v>
      </c>
      <c r="H15" s="3" t="s">
        <v>32</v>
      </c>
      <c r="I15" s="2">
        <v>0</v>
      </c>
      <c r="J15" s="4">
        <v>6289</v>
      </c>
      <c r="K15" s="5">
        <v>48.9</v>
      </c>
      <c r="L15" s="4">
        <v>1000</v>
      </c>
      <c r="M15" s="5">
        <v>7.8</v>
      </c>
      <c r="N15" s="4">
        <v>1584</v>
      </c>
      <c r="O15" s="5">
        <v>12.3</v>
      </c>
      <c r="P15" s="4">
        <v>1100</v>
      </c>
      <c r="Q15" s="5">
        <v>8.6</v>
      </c>
      <c r="R15" s="4">
        <v>1012</v>
      </c>
      <c r="S15" s="5">
        <v>7.9</v>
      </c>
      <c r="T15" s="4">
        <v>863</v>
      </c>
      <c r="U15" s="5">
        <v>6.7</v>
      </c>
      <c r="V15" s="4">
        <v>760</v>
      </c>
      <c r="W15" s="5">
        <v>5.9</v>
      </c>
      <c r="X15" s="4">
        <v>252</v>
      </c>
      <c r="Y15" s="5">
        <v>2</v>
      </c>
      <c r="Z15" s="4">
        <v>0</v>
      </c>
      <c r="AA15" s="5">
        <v>0</v>
      </c>
      <c r="AB15" s="4">
        <v>12608</v>
      </c>
      <c r="AC15" s="4">
        <v>12860</v>
      </c>
      <c r="AD15">
        <v>16500</v>
      </c>
      <c r="AE15" s="8">
        <f t="shared" si="3"/>
        <v>-3640</v>
      </c>
      <c r="AF15">
        <f t="shared" si="0"/>
        <v>-0.22060606060606061</v>
      </c>
      <c r="AG15">
        <f t="shared" si="1"/>
        <v>-0.22</v>
      </c>
      <c r="AH15" s="10">
        <v>12860</v>
      </c>
      <c r="AI15" s="12">
        <f t="shared" si="2"/>
        <v>-3640</v>
      </c>
      <c r="AJ15">
        <f>(AH15-AD15)/AD15</f>
        <v>-0.22060606060606061</v>
      </c>
      <c r="AK15">
        <f>AF15-AJ15</f>
        <v>0</v>
      </c>
    </row>
    <row r="16" spans="1:37" x14ac:dyDescent="0.35">
      <c r="A16" s="2">
        <v>15</v>
      </c>
      <c r="B16" s="3" t="s">
        <v>29</v>
      </c>
      <c r="C16" s="3" t="s">
        <v>30</v>
      </c>
      <c r="D16" s="3" t="s">
        <v>42</v>
      </c>
      <c r="E16" s="2">
        <v>440</v>
      </c>
      <c r="F16" s="2">
        <v>1</v>
      </c>
      <c r="G16" s="4">
        <v>95.05</v>
      </c>
      <c r="H16" s="3" t="s">
        <v>32</v>
      </c>
      <c r="I16" s="2">
        <v>0</v>
      </c>
      <c r="J16" s="4">
        <v>9636</v>
      </c>
      <c r="K16" s="5">
        <v>49</v>
      </c>
      <c r="L16" s="4">
        <v>1380</v>
      </c>
      <c r="M16" s="5">
        <v>7</v>
      </c>
      <c r="N16" s="4">
        <v>2420</v>
      </c>
      <c r="O16" s="5">
        <v>12.3</v>
      </c>
      <c r="P16" s="4">
        <v>1980</v>
      </c>
      <c r="Q16" s="5">
        <v>10.1</v>
      </c>
      <c r="R16" s="4">
        <v>1408</v>
      </c>
      <c r="S16" s="5">
        <v>7.2</v>
      </c>
      <c r="T16" s="4">
        <v>1350</v>
      </c>
      <c r="U16" s="5">
        <v>6.9</v>
      </c>
      <c r="V16" s="4">
        <v>1100</v>
      </c>
      <c r="W16" s="5">
        <v>5.6</v>
      </c>
      <c r="X16" s="4">
        <v>385</v>
      </c>
      <c r="Y16" s="5">
        <v>2</v>
      </c>
      <c r="Z16" s="4">
        <v>0</v>
      </c>
      <c r="AA16" s="5">
        <v>0</v>
      </c>
      <c r="AB16" s="4">
        <v>19274</v>
      </c>
      <c r="AC16" s="4">
        <v>19659</v>
      </c>
      <c r="AD16">
        <v>16800</v>
      </c>
      <c r="AE16" s="8">
        <f t="shared" si="3"/>
        <v>2859</v>
      </c>
      <c r="AF16">
        <f t="shared" si="0"/>
        <v>0.17017857142857143</v>
      </c>
      <c r="AG16">
        <f t="shared" si="1"/>
        <v>0.17</v>
      </c>
      <c r="AH16" s="10">
        <v>19659</v>
      </c>
      <c r="AI16" s="12">
        <f t="shared" si="2"/>
        <v>2859</v>
      </c>
      <c r="AJ16">
        <f>(AH16-AD16)/AD16</f>
        <v>0.17017857142857143</v>
      </c>
      <c r="AK16">
        <f>AF16-AJ16</f>
        <v>0</v>
      </c>
    </row>
    <row r="17" spans="1:37" x14ac:dyDescent="0.35">
      <c r="A17" s="2">
        <v>16</v>
      </c>
      <c r="B17" s="3" t="s">
        <v>33</v>
      </c>
      <c r="C17" s="3" t="s">
        <v>30</v>
      </c>
      <c r="D17" s="3" t="s">
        <v>43</v>
      </c>
      <c r="E17" s="2">
        <v>440</v>
      </c>
      <c r="F17" s="2">
        <v>1</v>
      </c>
      <c r="G17" s="4">
        <v>95.05</v>
      </c>
      <c r="H17" s="3" t="s">
        <v>32</v>
      </c>
      <c r="I17" s="2">
        <v>0</v>
      </c>
      <c r="J17" s="4">
        <v>6289</v>
      </c>
      <c r="K17" s="5">
        <v>48.9</v>
      </c>
      <c r="L17" s="4">
        <v>1000</v>
      </c>
      <c r="M17" s="5">
        <v>7.8</v>
      </c>
      <c r="N17" s="4">
        <v>1584</v>
      </c>
      <c r="O17" s="5">
        <v>12.3</v>
      </c>
      <c r="P17" s="4">
        <v>1100</v>
      </c>
      <c r="Q17" s="5">
        <v>8.6</v>
      </c>
      <c r="R17" s="4">
        <v>1012</v>
      </c>
      <c r="S17" s="5">
        <v>7.9</v>
      </c>
      <c r="T17" s="4">
        <v>863</v>
      </c>
      <c r="U17" s="5">
        <v>6.7</v>
      </c>
      <c r="V17" s="4">
        <v>760</v>
      </c>
      <c r="W17" s="5">
        <v>5.9</v>
      </c>
      <c r="X17" s="4">
        <v>252</v>
      </c>
      <c r="Y17" s="5">
        <v>2</v>
      </c>
      <c r="Z17" s="4">
        <v>0</v>
      </c>
      <c r="AA17" s="5">
        <v>0</v>
      </c>
      <c r="AB17" s="4">
        <v>12608</v>
      </c>
      <c r="AC17" s="4">
        <v>12860</v>
      </c>
      <c r="AD17">
        <v>16500</v>
      </c>
      <c r="AE17" s="8">
        <f t="shared" si="3"/>
        <v>-3640</v>
      </c>
      <c r="AF17">
        <f t="shared" si="0"/>
        <v>-0.22060606060606061</v>
      </c>
      <c r="AG17">
        <f t="shared" si="1"/>
        <v>-0.22</v>
      </c>
      <c r="AH17" s="10">
        <v>12860</v>
      </c>
      <c r="AI17" s="12">
        <f t="shared" si="2"/>
        <v>-3640</v>
      </c>
      <c r="AJ17">
        <f>(AH17-AD17)/AD17</f>
        <v>-0.22060606060606061</v>
      </c>
      <c r="AK17">
        <f>AF17-AJ17</f>
        <v>0</v>
      </c>
    </row>
    <row r="18" spans="1:37" x14ac:dyDescent="0.35">
      <c r="A18" s="2">
        <v>17</v>
      </c>
      <c r="B18" s="3" t="s">
        <v>29</v>
      </c>
      <c r="C18" s="3" t="s">
        <v>30</v>
      </c>
      <c r="D18" s="3" t="s">
        <v>44</v>
      </c>
      <c r="E18" s="2">
        <v>415</v>
      </c>
      <c r="F18" s="2">
        <v>1</v>
      </c>
      <c r="G18" s="4">
        <v>95.05</v>
      </c>
      <c r="H18" s="3" t="s">
        <v>32</v>
      </c>
      <c r="I18" s="2">
        <v>0</v>
      </c>
      <c r="J18" s="4">
        <v>9089</v>
      </c>
      <c r="K18" s="5">
        <v>48.4</v>
      </c>
      <c r="L18" s="4">
        <v>1380</v>
      </c>
      <c r="M18" s="5">
        <v>7.4</v>
      </c>
      <c r="N18" s="4">
        <v>2283</v>
      </c>
      <c r="O18" s="5">
        <v>12.2</v>
      </c>
      <c r="P18" s="4">
        <v>1868</v>
      </c>
      <c r="Q18" s="5">
        <v>10</v>
      </c>
      <c r="R18" s="4">
        <v>1328</v>
      </c>
      <c r="S18" s="5">
        <v>7.1</v>
      </c>
      <c r="T18" s="4">
        <v>1350</v>
      </c>
      <c r="U18" s="5">
        <v>7.2</v>
      </c>
      <c r="V18" s="4">
        <v>1100</v>
      </c>
      <c r="W18" s="5">
        <v>5.9</v>
      </c>
      <c r="X18" s="4">
        <v>368</v>
      </c>
      <c r="Y18" s="5">
        <v>2</v>
      </c>
      <c r="Z18" s="4">
        <v>0</v>
      </c>
      <c r="AA18" s="5">
        <v>0</v>
      </c>
      <c r="AB18" s="4">
        <v>18398</v>
      </c>
      <c r="AC18" s="4">
        <v>18766</v>
      </c>
      <c r="AD18">
        <v>14700</v>
      </c>
      <c r="AE18" s="8">
        <f t="shared" si="3"/>
        <v>4066</v>
      </c>
      <c r="AF18">
        <f t="shared" si="0"/>
        <v>0.27659863945578234</v>
      </c>
      <c r="AG18">
        <f t="shared" si="1"/>
        <v>0.28000000000000003</v>
      </c>
      <c r="AH18" s="10">
        <v>18766</v>
      </c>
      <c r="AI18" s="12">
        <f t="shared" si="2"/>
        <v>4066</v>
      </c>
      <c r="AJ18">
        <f>(AH18-AD18)/AD18</f>
        <v>0.27659863945578234</v>
      </c>
      <c r="AK18">
        <f>AF18-AJ18</f>
        <v>0</v>
      </c>
    </row>
    <row r="19" spans="1:37" x14ac:dyDescent="0.35">
      <c r="A19" s="2">
        <v>18</v>
      </c>
      <c r="B19" s="3" t="s">
        <v>29</v>
      </c>
      <c r="C19" s="3" t="s">
        <v>30</v>
      </c>
      <c r="D19" s="3" t="s">
        <v>45</v>
      </c>
      <c r="E19" s="2">
        <v>430</v>
      </c>
      <c r="F19" s="2">
        <v>1</v>
      </c>
      <c r="G19" s="4">
        <v>95.05</v>
      </c>
      <c r="H19" s="3" t="s">
        <v>32</v>
      </c>
      <c r="I19" s="2">
        <v>0</v>
      </c>
      <c r="J19" s="4">
        <v>9417</v>
      </c>
      <c r="K19" s="5">
        <v>48.8</v>
      </c>
      <c r="L19" s="4">
        <v>1380</v>
      </c>
      <c r="M19" s="5">
        <v>7.1</v>
      </c>
      <c r="N19" s="4">
        <v>2365</v>
      </c>
      <c r="O19" s="5">
        <v>12.3</v>
      </c>
      <c r="P19" s="4">
        <v>1935</v>
      </c>
      <c r="Q19" s="5">
        <v>10</v>
      </c>
      <c r="R19" s="4">
        <v>1376</v>
      </c>
      <c r="S19" s="5">
        <v>7.1</v>
      </c>
      <c r="T19" s="4">
        <v>1350</v>
      </c>
      <c r="U19" s="5">
        <v>7</v>
      </c>
      <c r="V19" s="4">
        <v>1100</v>
      </c>
      <c r="W19" s="5">
        <v>5.7</v>
      </c>
      <c r="X19" s="4">
        <v>378</v>
      </c>
      <c r="Y19" s="5">
        <v>2</v>
      </c>
      <c r="Z19" s="4">
        <v>0</v>
      </c>
      <c r="AA19" s="5">
        <v>0</v>
      </c>
      <c r="AB19" s="4">
        <v>18923</v>
      </c>
      <c r="AC19" s="4">
        <v>19301</v>
      </c>
      <c r="AD19">
        <v>16000</v>
      </c>
      <c r="AE19" s="8">
        <f t="shared" si="3"/>
        <v>3301</v>
      </c>
      <c r="AF19">
        <f t="shared" si="0"/>
        <v>0.20631250000000001</v>
      </c>
      <c r="AG19">
        <f t="shared" si="1"/>
        <v>0.21</v>
      </c>
      <c r="AH19" s="10">
        <v>19301</v>
      </c>
      <c r="AI19" s="12">
        <f t="shared" si="2"/>
        <v>3301</v>
      </c>
      <c r="AJ19">
        <f>(AH19-AD19)/AD19</f>
        <v>0.20631250000000001</v>
      </c>
      <c r="AK19">
        <f>AF19-AJ19</f>
        <v>0</v>
      </c>
    </row>
    <row r="20" spans="1:37" x14ac:dyDescent="0.35">
      <c r="A20" s="2">
        <v>19</v>
      </c>
      <c r="B20" s="3" t="s">
        <v>29</v>
      </c>
      <c r="C20" s="3" t="s">
        <v>30</v>
      </c>
      <c r="D20" s="3" t="s">
        <v>46</v>
      </c>
      <c r="E20" s="2">
        <v>460</v>
      </c>
      <c r="F20" s="2">
        <v>1</v>
      </c>
      <c r="G20" s="4">
        <v>95.05</v>
      </c>
      <c r="H20" s="3" t="s">
        <v>32</v>
      </c>
      <c r="I20" s="2">
        <v>0</v>
      </c>
      <c r="J20" s="4">
        <v>10074</v>
      </c>
      <c r="K20" s="5">
        <v>49.4</v>
      </c>
      <c r="L20" s="4">
        <v>1380</v>
      </c>
      <c r="M20" s="5">
        <v>6.8</v>
      </c>
      <c r="N20" s="4">
        <v>2530</v>
      </c>
      <c r="O20" s="5">
        <v>12.4</v>
      </c>
      <c r="P20" s="4">
        <v>2070</v>
      </c>
      <c r="Q20" s="5">
        <v>10.199999999999999</v>
      </c>
      <c r="R20" s="4">
        <v>1472</v>
      </c>
      <c r="S20" s="5">
        <v>7.2</v>
      </c>
      <c r="T20" s="4">
        <v>1350</v>
      </c>
      <c r="U20" s="5">
        <v>6.6</v>
      </c>
      <c r="V20" s="4">
        <v>1100</v>
      </c>
      <c r="W20" s="5">
        <v>5.4</v>
      </c>
      <c r="X20" s="4">
        <v>400</v>
      </c>
      <c r="Y20" s="5">
        <v>2</v>
      </c>
      <c r="Z20" s="4">
        <v>0</v>
      </c>
      <c r="AA20" s="5">
        <v>0</v>
      </c>
      <c r="AB20" s="4">
        <v>19976</v>
      </c>
      <c r="AC20" s="4">
        <v>20376</v>
      </c>
      <c r="AD20">
        <v>17600</v>
      </c>
      <c r="AE20" s="8">
        <f t="shared" si="3"/>
        <v>2776</v>
      </c>
      <c r="AF20">
        <f t="shared" si="0"/>
        <v>0.15772727272727272</v>
      </c>
      <c r="AG20">
        <f t="shared" si="1"/>
        <v>0.16</v>
      </c>
      <c r="AH20" s="10">
        <v>24451</v>
      </c>
      <c r="AI20" s="12">
        <f t="shared" si="2"/>
        <v>6851</v>
      </c>
      <c r="AJ20">
        <f>(AH20-AD20)/AD20</f>
        <v>0.38926136363636366</v>
      </c>
      <c r="AK20">
        <f>AF20-AJ20</f>
        <v>-0.23153409090909094</v>
      </c>
    </row>
    <row r="21" spans="1:37" x14ac:dyDescent="0.35">
      <c r="A21" s="2">
        <v>20</v>
      </c>
      <c r="B21" s="3" t="s">
        <v>29</v>
      </c>
      <c r="C21" s="3" t="s">
        <v>30</v>
      </c>
      <c r="D21" s="3" t="s">
        <v>47</v>
      </c>
      <c r="E21" s="2">
        <v>430</v>
      </c>
      <c r="F21" s="2">
        <v>1</v>
      </c>
      <c r="G21" s="4">
        <v>95.05</v>
      </c>
      <c r="H21" s="3" t="s">
        <v>32</v>
      </c>
      <c r="I21" s="2">
        <v>0</v>
      </c>
      <c r="J21" s="4">
        <v>9417</v>
      </c>
      <c r="K21" s="5">
        <v>48.8</v>
      </c>
      <c r="L21" s="4">
        <v>1380</v>
      </c>
      <c r="M21" s="5">
        <v>7.1</v>
      </c>
      <c r="N21" s="4">
        <v>2365</v>
      </c>
      <c r="O21" s="5">
        <v>12.3</v>
      </c>
      <c r="P21" s="4">
        <v>1935</v>
      </c>
      <c r="Q21" s="5">
        <v>10</v>
      </c>
      <c r="R21" s="4">
        <v>1376</v>
      </c>
      <c r="S21" s="5">
        <v>7.1</v>
      </c>
      <c r="T21" s="4">
        <v>1350</v>
      </c>
      <c r="U21" s="5">
        <v>7</v>
      </c>
      <c r="V21" s="4">
        <v>1100</v>
      </c>
      <c r="W21" s="5">
        <v>5.7</v>
      </c>
      <c r="X21" s="4">
        <v>378</v>
      </c>
      <c r="Y21" s="5">
        <v>2</v>
      </c>
      <c r="Z21" s="4">
        <v>0</v>
      </c>
      <c r="AA21" s="5">
        <v>0</v>
      </c>
      <c r="AB21" s="4">
        <v>18923</v>
      </c>
      <c r="AC21" s="4">
        <v>19301</v>
      </c>
      <c r="AD21">
        <v>14500</v>
      </c>
      <c r="AE21" s="8">
        <f t="shared" si="3"/>
        <v>4801</v>
      </c>
      <c r="AF21">
        <f t="shared" si="0"/>
        <v>0.33110344827586208</v>
      </c>
      <c r="AG21">
        <f t="shared" si="1"/>
        <v>0.33</v>
      </c>
      <c r="AH21" s="10">
        <v>19301</v>
      </c>
      <c r="AI21" s="12">
        <f t="shared" si="2"/>
        <v>4801</v>
      </c>
      <c r="AJ21">
        <f>(AH21-AD21)/AD21</f>
        <v>0.33110344827586208</v>
      </c>
      <c r="AK21">
        <f>AF21-AJ21</f>
        <v>0</v>
      </c>
    </row>
    <row r="22" spans="1:37" x14ac:dyDescent="0.35">
      <c r="A22" s="2">
        <v>21</v>
      </c>
      <c r="B22" s="3" t="s">
        <v>29</v>
      </c>
      <c r="C22" s="3" t="s">
        <v>30</v>
      </c>
      <c r="D22" s="3" t="s">
        <v>48</v>
      </c>
      <c r="E22" s="2">
        <v>430</v>
      </c>
      <c r="F22" s="2">
        <v>1</v>
      </c>
      <c r="G22" s="4">
        <v>95.05</v>
      </c>
      <c r="H22" s="3" t="s">
        <v>32</v>
      </c>
      <c r="I22" s="2">
        <v>0</v>
      </c>
      <c r="J22" s="4">
        <v>9417</v>
      </c>
      <c r="K22" s="5">
        <v>48.8</v>
      </c>
      <c r="L22" s="4">
        <v>1380</v>
      </c>
      <c r="M22" s="5">
        <v>7.1</v>
      </c>
      <c r="N22" s="4">
        <v>2365</v>
      </c>
      <c r="O22" s="5">
        <v>12.3</v>
      </c>
      <c r="P22" s="4">
        <v>1935</v>
      </c>
      <c r="Q22" s="5">
        <v>10</v>
      </c>
      <c r="R22" s="4">
        <v>1376</v>
      </c>
      <c r="S22" s="5">
        <v>7.1</v>
      </c>
      <c r="T22" s="4">
        <v>1350</v>
      </c>
      <c r="U22" s="5">
        <v>7</v>
      </c>
      <c r="V22" s="4">
        <v>1100</v>
      </c>
      <c r="W22" s="5">
        <v>5.7</v>
      </c>
      <c r="X22" s="4">
        <v>378</v>
      </c>
      <c r="Y22" s="5">
        <v>2</v>
      </c>
      <c r="Z22" s="4">
        <v>0</v>
      </c>
      <c r="AA22" s="5">
        <v>0</v>
      </c>
      <c r="AB22" s="4">
        <v>18923</v>
      </c>
      <c r="AC22" s="4">
        <v>19301</v>
      </c>
      <c r="AD22">
        <v>14000</v>
      </c>
      <c r="AE22" s="8">
        <f t="shared" si="3"/>
        <v>5301</v>
      </c>
      <c r="AF22">
        <f t="shared" si="0"/>
        <v>0.37864285714285717</v>
      </c>
      <c r="AG22">
        <f t="shared" si="1"/>
        <v>0.38</v>
      </c>
      <c r="AH22" s="10">
        <v>23161</v>
      </c>
      <c r="AI22" s="12">
        <f t="shared" si="2"/>
        <v>9161</v>
      </c>
      <c r="AJ22">
        <f>(AH22-AD22)/AD22</f>
        <v>0.65435714285714286</v>
      </c>
      <c r="AK22">
        <f>AF22-AJ22</f>
        <v>-0.27571428571428569</v>
      </c>
    </row>
    <row r="23" spans="1:37" x14ac:dyDescent="0.35">
      <c r="A23" s="2">
        <v>22</v>
      </c>
      <c r="B23" s="3" t="s">
        <v>29</v>
      </c>
      <c r="C23" s="3" t="s">
        <v>30</v>
      </c>
      <c r="D23" s="3" t="s">
        <v>49</v>
      </c>
      <c r="E23" s="2">
        <v>420</v>
      </c>
      <c r="F23" s="2">
        <v>1</v>
      </c>
      <c r="G23" s="4">
        <v>95.05</v>
      </c>
      <c r="H23" s="3" t="s">
        <v>32</v>
      </c>
      <c r="I23" s="2">
        <v>0</v>
      </c>
      <c r="J23" s="4">
        <v>9198</v>
      </c>
      <c r="K23" s="5">
        <v>48.6</v>
      </c>
      <c r="L23" s="4">
        <v>1380</v>
      </c>
      <c r="M23" s="5">
        <v>7.3</v>
      </c>
      <c r="N23" s="4">
        <v>2310</v>
      </c>
      <c r="O23" s="5">
        <v>12.2</v>
      </c>
      <c r="P23" s="4">
        <v>1890</v>
      </c>
      <c r="Q23" s="5">
        <v>10</v>
      </c>
      <c r="R23" s="4">
        <v>1344</v>
      </c>
      <c r="S23" s="5">
        <v>7.1</v>
      </c>
      <c r="T23" s="4">
        <v>1350</v>
      </c>
      <c r="U23" s="5">
        <v>7.1</v>
      </c>
      <c r="V23" s="4">
        <v>1100</v>
      </c>
      <c r="W23" s="5">
        <v>5.8</v>
      </c>
      <c r="X23" s="4">
        <v>371</v>
      </c>
      <c r="Y23" s="5">
        <v>2</v>
      </c>
      <c r="Z23" s="4">
        <v>0</v>
      </c>
      <c r="AA23" s="5">
        <v>0</v>
      </c>
      <c r="AB23" s="4">
        <v>18572</v>
      </c>
      <c r="AC23" s="4">
        <v>18943</v>
      </c>
      <c r="AD23">
        <v>14500</v>
      </c>
      <c r="AE23" s="8">
        <f t="shared" si="3"/>
        <v>4443</v>
      </c>
      <c r="AF23">
        <f t="shared" si="0"/>
        <v>0.3064137931034483</v>
      </c>
      <c r="AG23">
        <f t="shared" si="1"/>
        <v>0.31</v>
      </c>
      <c r="AH23" s="10">
        <v>18943</v>
      </c>
      <c r="AI23" s="12">
        <f t="shared" si="2"/>
        <v>4443</v>
      </c>
      <c r="AJ23">
        <f>(AH23-AD23)/AD23</f>
        <v>0.3064137931034483</v>
      </c>
      <c r="AK23">
        <f>AF23-AJ23</f>
        <v>0</v>
      </c>
    </row>
    <row r="24" spans="1:37" x14ac:dyDescent="0.35">
      <c r="A24" s="2">
        <v>23</v>
      </c>
      <c r="B24" s="3" t="s">
        <v>29</v>
      </c>
      <c r="C24" s="3" t="s">
        <v>30</v>
      </c>
      <c r="D24" s="3" t="s">
        <v>50</v>
      </c>
      <c r="E24" s="2">
        <v>340</v>
      </c>
      <c r="F24" s="2">
        <v>1</v>
      </c>
      <c r="G24" s="4">
        <v>95.05</v>
      </c>
      <c r="H24" s="3" t="s">
        <v>32</v>
      </c>
      <c r="I24" s="2">
        <v>0</v>
      </c>
      <c r="J24" s="4">
        <v>7446</v>
      </c>
      <c r="K24" s="5">
        <v>46.3</v>
      </c>
      <c r="L24" s="4">
        <v>1380</v>
      </c>
      <c r="M24" s="5">
        <v>8.6</v>
      </c>
      <c r="N24" s="4">
        <v>1870</v>
      </c>
      <c r="O24" s="5">
        <v>11.6</v>
      </c>
      <c r="P24" s="4">
        <v>1530</v>
      </c>
      <c r="Q24" s="5">
        <v>9.5</v>
      </c>
      <c r="R24" s="4">
        <v>1088</v>
      </c>
      <c r="S24" s="5">
        <v>6.8</v>
      </c>
      <c r="T24" s="4">
        <v>1350</v>
      </c>
      <c r="U24" s="5">
        <v>8.4</v>
      </c>
      <c r="V24" s="4">
        <v>1100</v>
      </c>
      <c r="W24" s="5">
        <v>6.8</v>
      </c>
      <c r="X24" s="4">
        <v>315</v>
      </c>
      <c r="Y24" s="5">
        <v>2</v>
      </c>
      <c r="Z24" s="4">
        <v>0</v>
      </c>
      <c r="AA24" s="5">
        <v>0</v>
      </c>
      <c r="AB24" s="4">
        <v>15764</v>
      </c>
      <c r="AC24" s="4">
        <v>16079</v>
      </c>
      <c r="AD24">
        <v>14550</v>
      </c>
      <c r="AE24" s="8">
        <f t="shared" si="3"/>
        <v>1529</v>
      </c>
      <c r="AF24">
        <f t="shared" si="0"/>
        <v>0.10508591065292096</v>
      </c>
      <c r="AG24">
        <f t="shared" si="1"/>
        <v>0.11</v>
      </c>
      <c r="AH24" s="10">
        <v>19295</v>
      </c>
      <c r="AI24" s="12">
        <f t="shared" si="2"/>
        <v>4745</v>
      </c>
      <c r="AJ24">
        <f>(AH24-AD24)/AD24</f>
        <v>0.32611683848797252</v>
      </c>
      <c r="AK24">
        <f>AF24-AJ24</f>
        <v>-0.22103092783505157</v>
      </c>
    </row>
    <row r="25" spans="1:37" x14ac:dyDescent="0.35">
      <c r="A25" s="2">
        <v>24</v>
      </c>
      <c r="B25" s="3" t="s">
        <v>29</v>
      </c>
      <c r="C25" s="3" t="s">
        <v>30</v>
      </c>
      <c r="D25" s="3" t="s">
        <v>51</v>
      </c>
      <c r="E25" s="2">
        <v>440</v>
      </c>
      <c r="F25" s="2">
        <v>1</v>
      </c>
      <c r="G25" s="4">
        <v>95.05</v>
      </c>
      <c r="H25" s="3" t="s">
        <v>32</v>
      </c>
      <c r="I25" s="2">
        <v>0</v>
      </c>
      <c r="J25" s="4">
        <v>9636</v>
      </c>
      <c r="K25" s="5">
        <v>49</v>
      </c>
      <c r="L25" s="4">
        <v>1380</v>
      </c>
      <c r="M25" s="5">
        <v>7</v>
      </c>
      <c r="N25" s="4">
        <v>2420</v>
      </c>
      <c r="O25" s="5">
        <v>12.3</v>
      </c>
      <c r="P25" s="4">
        <v>1980</v>
      </c>
      <c r="Q25" s="5">
        <v>10.1</v>
      </c>
      <c r="R25" s="4">
        <v>1408</v>
      </c>
      <c r="S25" s="5">
        <v>7.2</v>
      </c>
      <c r="T25" s="4">
        <v>1350</v>
      </c>
      <c r="U25" s="5">
        <v>6.9</v>
      </c>
      <c r="V25" s="4">
        <v>1100</v>
      </c>
      <c r="W25" s="5">
        <v>5.6</v>
      </c>
      <c r="X25" s="4">
        <v>385</v>
      </c>
      <c r="Y25" s="5">
        <v>2</v>
      </c>
      <c r="Z25" s="4">
        <v>0</v>
      </c>
      <c r="AA25" s="5">
        <v>0</v>
      </c>
      <c r="AB25" s="4">
        <v>19274</v>
      </c>
      <c r="AC25" s="4">
        <v>19659</v>
      </c>
      <c r="AD25">
        <v>14300</v>
      </c>
      <c r="AE25" s="8">
        <f t="shared" si="3"/>
        <v>5359</v>
      </c>
      <c r="AF25">
        <f t="shared" si="0"/>
        <v>0.37475524475524474</v>
      </c>
      <c r="AG25">
        <f t="shared" si="1"/>
        <v>0.37</v>
      </c>
      <c r="AH25" s="10">
        <v>21625</v>
      </c>
      <c r="AI25" s="12">
        <f t="shared" si="2"/>
        <v>7325</v>
      </c>
      <c r="AJ25">
        <f>(AH25-AD25)/AD25</f>
        <v>0.51223776223776218</v>
      </c>
      <c r="AK25">
        <f>AF25-AJ25</f>
        <v>-0.13748251748251744</v>
      </c>
    </row>
    <row r="26" spans="1:37" x14ac:dyDescent="0.35">
      <c r="A26" s="2">
        <v>25</v>
      </c>
      <c r="B26" s="3" t="s">
        <v>29</v>
      </c>
      <c r="C26" s="3" t="s">
        <v>30</v>
      </c>
      <c r="D26" s="3" t="s">
        <v>52</v>
      </c>
      <c r="E26" s="2">
        <v>440</v>
      </c>
      <c r="F26" s="2">
        <v>1</v>
      </c>
      <c r="G26" s="4">
        <v>95.05</v>
      </c>
      <c r="H26" s="3" t="s">
        <v>32</v>
      </c>
      <c r="I26" s="2">
        <v>0</v>
      </c>
      <c r="J26" s="4">
        <v>9636</v>
      </c>
      <c r="K26" s="5">
        <v>49</v>
      </c>
      <c r="L26" s="4">
        <v>1380</v>
      </c>
      <c r="M26" s="5">
        <v>7</v>
      </c>
      <c r="N26" s="4">
        <v>2420</v>
      </c>
      <c r="O26" s="5">
        <v>12.3</v>
      </c>
      <c r="P26" s="4">
        <v>1980</v>
      </c>
      <c r="Q26" s="5">
        <v>10.1</v>
      </c>
      <c r="R26" s="4">
        <v>1408</v>
      </c>
      <c r="S26" s="5">
        <v>7.2</v>
      </c>
      <c r="T26" s="4">
        <v>1350</v>
      </c>
      <c r="U26" s="5">
        <v>6.9</v>
      </c>
      <c r="V26" s="4">
        <v>1100</v>
      </c>
      <c r="W26" s="5">
        <v>5.6</v>
      </c>
      <c r="X26" s="4">
        <v>385</v>
      </c>
      <c r="Y26" s="5">
        <v>2</v>
      </c>
      <c r="Z26" s="4">
        <v>0</v>
      </c>
      <c r="AA26" s="5">
        <v>0</v>
      </c>
      <c r="AB26" s="4">
        <v>19274</v>
      </c>
      <c r="AC26" s="4">
        <v>19659</v>
      </c>
      <c r="AD26">
        <v>14500</v>
      </c>
      <c r="AE26" s="8">
        <f t="shared" si="3"/>
        <v>5159</v>
      </c>
      <c r="AF26">
        <f t="shared" si="0"/>
        <v>0.35579310344827586</v>
      </c>
      <c r="AG26">
        <f t="shared" si="1"/>
        <v>0.36</v>
      </c>
      <c r="AH26" s="10">
        <v>19659</v>
      </c>
      <c r="AI26" s="12">
        <f t="shared" si="2"/>
        <v>5159</v>
      </c>
      <c r="AJ26">
        <f>(AH26-AD26)/AD26</f>
        <v>0.35579310344827586</v>
      </c>
      <c r="AK26">
        <f>AF26-AJ26</f>
        <v>0</v>
      </c>
    </row>
    <row r="27" spans="1:37" x14ac:dyDescent="0.35">
      <c r="A27" s="2">
        <v>26</v>
      </c>
      <c r="B27" s="3" t="s">
        <v>29</v>
      </c>
      <c r="C27" s="3" t="s">
        <v>30</v>
      </c>
      <c r="D27" s="3" t="s">
        <v>53</v>
      </c>
      <c r="E27" s="2">
        <v>430</v>
      </c>
      <c r="F27" s="2">
        <v>1</v>
      </c>
      <c r="G27" s="4">
        <v>95.05</v>
      </c>
      <c r="H27" s="3" t="s">
        <v>32</v>
      </c>
      <c r="I27" s="2">
        <v>0</v>
      </c>
      <c r="J27" s="4">
        <v>9417</v>
      </c>
      <c r="K27" s="5">
        <v>48.8</v>
      </c>
      <c r="L27" s="4">
        <v>1380</v>
      </c>
      <c r="M27" s="5">
        <v>7.1</v>
      </c>
      <c r="N27" s="4">
        <v>2365</v>
      </c>
      <c r="O27" s="5">
        <v>12.3</v>
      </c>
      <c r="P27" s="4">
        <v>1935</v>
      </c>
      <c r="Q27" s="5">
        <v>10</v>
      </c>
      <c r="R27" s="4">
        <v>1376</v>
      </c>
      <c r="S27" s="5">
        <v>7.1</v>
      </c>
      <c r="T27" s="4">
        <v>1350</v>
      </c>
      <c r="U27" s="5">
        <v>7</v>
      </c>
      <c r="V27" s="4">
        <v>1100</v>
      </c>
      <c r="W27" s="5">
        <v>5.7</v>
      </c>
      <c r="X27" s="4">
        <v>378</v>
      </c>
      <c r="Y27" s="5">
        <v>2</v>
      </c>
      <c r="Z27" s="4">
        <v>0</v>
      </c>
      <c r="AA27" s="5">
        <v>0</v>
      </c>
      <c r="AB27" s="4">
        <v>18923</v>
      </c>
      <c r="AC27" s="4">
        <v>19301</v>
      </c>
      <c r="AD27">
        <v>14500</v>
      </c>
      <c r="AE27" s="8">
        <f t="shared" si="3"/>
        <v>4801</v>
      </c>
      <c r="AF27">
        <f t="shared" si="0"/>
        <v>0.33110344827586208</v>
      </c>
      <c r="AG27">
        <f t="shared" si="1"/>
        <v>0.33</v>
      </c>
      <c r="AH27" s="10">
        <v>19301</v>
      </c>
      <c r="AI27" s="12">
        <f t="shared" si="2"/>
        <v>4801</v>
      </c>
      <c r="AJ27">
        <f>(AH27-AD27)/AD27</f>
        <v>0.33110344827586208</v>
      </c>
      <c r="AK27">
        <f>AF27-AJ27</f>
        <v>0</v>
      </c>
    </row>
    <row r="28" spans="1:37" x14ac:dyDescent="0.35">
      <c r="A28" s="2">
        <v>27</v>
      </c>
      <c r="B28" s="3" t="s">
        <v>29</v>
      </c>
      <c r="C28" s="3" t="s">
        <v>30</v>
      </c>
      <c r="D28" s="3" t="s">
        <v>54</v>
      </c>
      <c r="E28" s="2">
        <v>890</v>
      </c>
      <c r="F28" s="2">
        <v>1</v>
      </c>
      <c r="G28" s="4">
        <v>95.05</v>
      </c>
      <c r="H28" s="3" t="s">
        <v>32</v>
      </c>
      <c r="I28" s="2">
        <v>0</v>
      </c>
      <c r="J28" s="4">
        <v>19492</v>
      </c>
      <c r="K28" s="5">
        <v>54.5</v>
      </c>
      <c r="L28" s="4">
        <v>1380</v>
      </c>
      <c r="M28" s="5">
        <v>3.9</v>
      </c>
      <c r="N28" s="4">
        <v>4895</v>
      </c>
      <c r="O28" s="5">
        <v>13.7</v>
      </c>
      <c r="P28" s="4">
        <v>4005</v>
      </c>
      <c r="Q28" s="5">
        <v>11.2</v>
      </c>
      <c r="R28" s="4">
        <v>2848</v>
      </c>
      <c r="S28" s="5">
        <v>8</v>
      </c>
      <c r="T28" s="4">
        <v>1350</v>
      </c>
      <c r="U28" s="5">
        <v>3.8</v>
      </c>
      <c r="V28" s="4">
        <v>1100</v>
      </c>
      <c r="W28" s="5">
        <v>3.1</v>
      </c>
      <c r="X28" s="4">
        <v>701</v>
      </c>
      <c r="Y28" s="5">
        <v>2</v>
      </c>
      <c r="Z28" s="4">
        <v>0</v>
      </c>
      <c r="AA28" s="5">
        <v>0</v>
      </c>
      <c r="AB28" s="4">
        <v>35070</v>
      </c>
      <c r="AC28" s="4">
        <v>35771</v>
      </c>
      <c r="AD28">
        <v>24950</v>
      </c>
      <c r="AE28" s="8">
        <f t="shared" si="3"/>
        <v>10821</v>
      </c>
      <c r="AF28">
        <f t="shared" si="0"/>
        <v>0.4337074148296593</v>
      </c>
      <c r="AG28">
        <f t="shared" si="1"/>
        <v>0.43</v>
      </c>
      <c r="AH28" s="10">
        <v>33982</v>
      </c>
      <c r="AI28" s="12">
        <f t="shared" si="2"/>
        <v>9032</v>
      </c>
      <c r="AJ28">
        <f>(AH28-AD28)/AD28</f>
        <v>0.36200400801603205</v>
      </c>
      <c r="AK28">
        <f>AF28-AJ28</f>
        <v>7.1703406813627246E-2</v>
      </c>
    </row>
    <row r="29" spans="1:37" x14ac:dyDescent="0.35">
      <c r="A29" s="2">
        <v>28</v>
      </c>
      <c r="B29" s="3" t="s">
        <v>33</v>
      </c>
      <c r="C29" s="3" t="s">
        <v>30</v>
      </c>
      <c r="D29" s="3" t="s">
        <v>55</v>
      </c>
      <c r="E29" s="2">
        <v>530</v>
      </c>
      <c r="F29" s="2">
        <v>1</v>
      </c>
      <c r="G29" s="4">
        <v>95.05</v>
      </c>
      <c r="H29" s="3" t="s">
        <v>32</v>
      </c>
      <c r="I29" s="2">
        <v>0</v>
      </c>
      <c r="J29" s="4">
        <v>7575</v>
      </c>
      <c r="K29" s="5">
        <v>50.7</v>
      </c>
      <c r="L29" s="4">
        <v>1000</v>
      </c>
      <c r="M29" s="5">
        <v>6.7</v>
      </c>
      <c r="N29" s="4">
        <v>1908</v>
      </c>
      <c r="O29" s="5">
        <v>12.8</v>
      </c>
      <c r="P29" s="4">
        <v>1325</v>
      </c>
      <c r="Q29" s="5">
        <v>8.9</v>
      </c>
      <c r="R29" s="4">
        <v>1219</v>
      </c>
      <c r="S29" s="5">
        <v>8.1999999999999993</v>
      </c>
      <c r="T29" s="4">
        <v>863</v>
      </c>
      <c r="U29" s="5">
        <v>5.8</v>
      </c>
      <c r="V29" s="4">
        <v>760</v>
      </c>
      <c r="W29" s="5">
        <v>5.0999999999999996</v>
      </c>
      <c r="X29" s="4">
        <v>293</v>
      </c>
      <c r="Y29" s="5">
        <v>2</v>
      </c>
      <c r="Z29" s="4">
        <v>0</v>
      </c>
      <c r="AA29" s="5">
        <v>0</v>
      </c>
      <c r="AB29" s="4">
        <v>14650</v>
      </c>
      <c r="AC29" s="4">
        <v>14943</v>
      </c>
      <c r="AD29">
        <v>13600</v>
      </c>
      <c r="AE29" s="8">
        <f t="shared" si="3"/>
        <v>1343</v>
      </c>
      <c r="AF29">
        <f t="shared" si="0"/>
        <v>9.8750000000000004E-2</v>
      </c>
      <c r="AG29">
        <f t="shared" si="1"/>
        <v>0.1</v>
      </c>
      <c r="AH29" s="10">
        <v>14943</v>
      </c>
      <c r="AI29" s="12">
        <f t="shared" si="2"/>
        <v>1343</v>
      </c>
      <c r="AJ29">
        <f>(AH29-AD29)/AD29</f>
        <v>9.8750000000000004E-2</v>
      </c>
      <c r="AK29">
        <f>AF29-AJ29</f>
        <v>0</v>
      </c>
    </row>
    <row r="30" spans="1:37" x14ac:dyDescent="0.35">
      <c r="A30" s="2">
        <v>29</v>
      </c>
      <c r="B30" s="3" t="s">
        <v>29</v>
      </c>
      <c r="C30" s="3" t="s">
        <v>30</v>
      </c>
      <c r="D30" s="3" t="s">
        <v>55</v>
      </c>
      <c r="E30" s="2">
        <v>530</v>
      </c>
      <c r="F30" s="2">
        <v>1</v>
      </c>
      <c r="G30" s="4">
        <v>95.05</v>
      </c>
      <c r="H30" s="3" t="s">
        <v>32</v>
      </c>
      <c r="I30" s="2">
        <v>0</v>
      </c>
      <c r="J30" s="4">
        <v>11607</v>
      </c>
      <c r="K30" s="5">
        <v>50.7</v>
      </c>
      <c r="L30" s="4">
        <v>1380</v>
      </c>
      <c r="M30" s="5">
        <v>6</v>
      </c>
      <c r="N30" s="4">
        <v>2915</v>
      </c>
      <c r="O30" s="5">
        <v>12.7</v>
      </c>
      <c r="P30" s="4">
        <v>2385</v>
      </c>
      <c r="Q30" s="5">
        <v>10.4</v>
      </c>
      <c r="R30" s="4">
        <v>1696</v>
      </c>
      <c r="S30" s="5">
        <v>7.4</v>
      </c>
      <c r="T30" s="4">
        <v>1350</v>
      </c>
      <c r="U30" s="5">
        <v>5.9</v>
      </c>
      <c r="V30" s="4">
        <v>1100</v>
      </c>
      <c r="W30" s="5">
        <v>4.8</v>
      </c>
      <c r="X30" s="4">
        <v>449</v>
      </c>
      <c r="Y30" s="5">
        <v>2</v>
      </c>
      <c r="Z30" s="4">
        <v>0</v>
      </c>
      <c r="AA30" s="5">
        <v>0</v>
      </c>
      <c r="AB30" s="4">
        <v>22433</v>
      </c>
      <c r="AC30" s="4">
        <v>22882</v>
      </c>
      <c r="AD30">
        <v>14250</v>
      </c>
      <c r="AE30" s="8">
        <f t="shared" si="3"/>
        <v>8632</v>
      </c>
      <c r="AF30">
        <f t="shared" si="0"/>
        <v>0.60575438596491227</v>
      </c>
      <c r="AG30">
        <f t="shared" si="1"/>
        <v>0.61</v>
      </c>
      <c r="AH30" s="10">
        <v>22882</v>
      </c>
      <c r="AI30" s="12">
        <f t="shared" si="2"/>
        <v>8632</v>
      </c>
      <c r="AJ30">
        <f>(AH30-AD30)/AD30</f>
        <v>0.60575438596491227</v>
      </c>
      <c r="AK30">
        <f>AF30-AJ30</f>
        <v>0</v>
      </c>
    </row>
    <row r="31" spans="1:37" x14ac:dyDescent="0.35">
      <c r="A31" s="2">
        <v>30</v>
      </c>
      <c r="B31" s="3" t="s">
        <v>29</v>
      </c>
      <c r="C31" s="3" t="s">
        <v>30</v>
      </c>
      <c r="D31" s="3" t="s">
        <v>56</v>
      </c>
      <c r="E31" s="2">
        <v>1080</v>
      </c>
      <c r="F31" s="2">
        <v>1</v>
      </c>
      <c r="G31" s="4">
        <v>95.05</v>
      </c>
      <c r="H31" s="3" t="s">
        <v>32</v>
      </c>
      <c r="I31" s="2">
        <v>0</v>
      </c>
      <c r="J31" s="4">
        <v>23653</v>
      </c>
      <c r="K31" s="5">
        <v>55.6</v>
      </c>
      <c r="L31" s="4">
        <v>1380</v>
      </c>
      <c r="M31" s="5">
        <v>3.2</v>
      </c>
      <c r="N31" s="4">
        <v>5940</v>
      </c>
      <c r="O31" s="5">
        <v>14</v>
      </c>
      <c r="P31" s="4">
        <v>4860</v>
      </c>
      <c r="Q31" s="5">
        <v>11.4</v>
      </c>
      <c r="R31" s="4">
        <v>3456</v>
      </c>
      <c r="S31" s="5">
        <v>8.1</v>
      </c>
      <c r="T31" s="4">
        <v>1350</v>
      </c>
      <c r="U31" s="5">
        <v>3.2</v>
      </c>
      <c r="V31" s="4">
        <v>1100</v>
      </c>
      <c r="W31" s="5">
        <v>2.6</v>
      </c>
      <c r="X31" s="4">
        <v>835</v>
      </c>
      <c r="Y31" s="5">
        <v>2</v>
      </c>
      <c r="Z31" s="4">
        <v>0</v>
      </c>
      <c r="AA31" s="5">
        <v>0</v>
      </c>
      <c r="AB31" s="4">
        <v>41739</v>
      </c>
      <c r="AC31" s="4">
        <v>42574</v>
      </c>
      <c r="AD31">
        <v>25000</v>
      </c>
      <c r="AE31" s="8">
        <f t="shared" si="3"/>
        <v>17574</v>
      </c>
      <c r="AF31">
        <f t="shared" si="0"/>
        <v>0.70296000000000003</v>
      </c>
      <c r="AG31">
        <f t="shared" si="1"/>
        <v>0.7</v>
      </c>
      <c r="AH31" s="10">
        <v>42574</v>
      </c>
      <c r="AI31" s="12">
        <f t="shared" si="2"/>
        <v>17574</v>
      </c>
      <c r="AJ31">
        <f>(AH31-AD31)/AD31</f>
        <v>0.70296000000000003</v>
      </c>
      <c r="AK31">
        <f>AF31-AJ31</f>
        <v>0</v>
      </c>
    </row>
    <row r="32" spans="1:37" x14ac:dyDescent="0.35">
      <c r="A32" s="2">
        <v>31</v>
      </c>
      <c r="B32" s="3" t="s">
        <v>29</v>
      </c>
      <c r="C32" s="3" t="s">
        <v>30</v>
      </c>
      <c r="D32" s="3" t="s">
        <v>57</v>
      </c>
      <c r="E32" s="2">
        <v>860</v>
      </c>
      <c r="F32" s="2">
        <v>1</v>
      </c>
      <c r="G32" s="4">
        <v>95.05</v>
      </c>
      <c r="H32" s="3" t="s">
        <v>32</v>
      </c>
      <c r="I32" s="2">
        <v>0</v>
      </c>
      <c r="J32" s="4">
        <v>18835</v>
      </c>
      <c r="K32" s="5">
        <v>54.3</v>
      </c>
      <c r="L32" s="4">
        <v>1380</v>
      </c>
      <c r="M32" s="5">
        <v>4</v>
      </c>
      <c r="N32" s="4">
        <v>4730</v>
      </c>
      <c r="O32" s="5">
        <v>13.6</v>
      </c>
      <c r="P32" s="4">
        <v>3870</v>
      </c>
      <c r="Q32" s="5">
        <v>11.2</v>
      </c>
      <c r="R32" s="4">
        <v>2752</v>
      </c>
      <c r="S32" s="5">
        <v>7.9</v>
      </c>
      <c r="T32" s="4">
        <v>1350</v>
      </c>
      <c r="U32" s="5">
        <v>3.9</v>
      </c>
      <c r="V32" s="4">
        <v>1100</v>
      </c>
      <c r="W32" s="5">
        <v>3.2</v>
      </c>
      <c r="X32" s="4">
        <v>680</v>
      </c>
      <c r="Y32" s="5">
        <v>2</v>
      </c>
      <c r="Z32" s="4">
        <v>0</v>
      </c>
      <c r="AA32" s="5">
        <v>0</v>
      </c>
      <c r="AB32" s="4">
        <v>34017</v>
      </c>
      <c r="AC32" s="4">
        <v>34697</v>
      </c>
      <c r="AD32">
        <v>23900</v>
      </c>
      <c r="AE32" s="8">
        <f t="shared" si="3"/>
        <v>10797</v>
      </c>
      <c r="AF32">
        <f t="shared" si="0"/>
        <v>0.45175732217573222</v>
      </c>
      <c r="AG32">
        <f t="shared" si="1"/>
        <v>0.45</v>
      </c>
      <c r="AH32" s="10">
        <v>34697</v>
      </c>
      <c r="AI32" s="12">
        <f t="shared" si="2"/>
        <v>10797</v>
      </c>
      <c r="AJ32">
        <f>(AH32-AD32)/AD32</f>
        <v>0.45175732217573222</v>
      </c>
      <c r="AK32">
        <f>AF32-AJ32</f>
        <v>0</v>
      </c>
    </row>
    <row r="33" spans="1:37" x14ac:dyDescent="0.35">
      <c r="A33" s="2">
        <v>32</v>
      </c>
      <c r="B33" s="3" t="s">
        <v>29</v>
      </c>
      <c r="C33" s="3" t="s">
        <v>30</v>
      </c>
      <c r="D33" s="3" t="s">
        <v>58</v>
      </c>
      <c r="E33" s="2">
        <v>920</v>
      </c>
      <c r="F33" s="2">
        <v>1</v>
      </c>
      <c r="G33" s="4">
        <v>95.05</v>
      </c>
      <c r="H33" s="3" t="s">
        <v>32</v>
      </c>
      <c r="I33" s="2">
        <v>0</v>
      </c>
      <c r="J33" s="4">
        <v>20149</v>
      </c>
      <c r="K33" s="5">
        <v>54.7</v>
      </c>
      <c r="L33" s="4">
        <v>1380</v>
      </c>
      <c r="M33" s="5">
        <v>3.7</v>
      </c>
      <c r="N33" s="4">
        <v>5060</v>
      </c>
      <c r="O33" s="5">
        <v>13.7</v>
      </c>
      <c r="P33" s="4">
        <v>4140</v>
      </c>
      <c r="Q33" s="5">
        <v>11.2</v>
      </c>
      <c r="R33" s="4">
        <v>2944</v>
      </c>
      <c r="S33" s="5">
        <v>8</v>
      </c>
      <c r="T33" s="4">
        <v>1350</v>
      </c>
      <c r="U33" s="5">
        <v>3.7</v>
      </c>
      <c r="V33" s="4">
        <v>1100</v>
      </c>
      <c r="W33" s="5">
        <v>3</v>
      </c>
      <c r="X33" s="4">
        <v>722</v>
      </c>
      <c r="Y33" s="5">
        <v>2</v>
      </c>
      <c r="Z33" s="4">
        <v>0</v>
      </c>
      <c r="AA33" s="5">
        <v>0</v>
      </c>
      <c r="AB33" s="4">
        <v>36123</v>
      </c>
      <c r="AC33" s="4">
        <v>36845</v>
      </c>
      <c r="AD33">
        <v>25900</v>
      </c>
      <c r="AE33" s="8">
        <f t="shared" si="3"/>
        <v>10945</v>
      </c>
      <c r="AF33">
        <f t="shared" si="0"/>
        <v>0.42258687258687261</v>
      </c>
      <c r="AG33">
        <f t="shared" si="1"/>
        <v>0.42</v>
      </c>
      <c r="AH33" s="10">
        <v>44214</v>
      </c>
      <c r="AI33" s="12">
        <f t="shared" si="2"/>
        <v>18314</v>
      </c>
      <c r="AJ33">
        <f>(AH33-AD33)/AD33</f>
        <v>0.70710424710424713</v>
      </c>
      <c r="AK33">
        <f>AF33-AJ33</f>
        <v>-0.28451737451737452</v>
      </c>
    </row>
    <row r="34" spans="1:37" x14ac:dyDescent="0.35">
      <c r="A34" s="2">
        <v>33</v>
      </c>
      <c r="B34" s="3" t="s">
        <v>29</v>
      </c>
      <c r="C34" s="3" t="s">
        <v>30</v>
      </c>
      <c r="D34" s="3" t="s">
        <v>59</v>
      </c>
      <c r="E34" s="2">
        <v>540</v>
      </c>
      <c r="F34" s="2">
        <v>1</v>
      </c>
      <c r="G34" s="4">
        <v>95.05</v>
      </c>
      <c r="H34" s="3" t="s">
        <v>32</v>
      </c>
      <c r="I34" s="2">
        <v>0</v>
      </c>
      <c r="J34" s="4">
        <v>11826</v>
      </c>
      <c r="K34" s="5">
        <v>50.9</v>
      </c>
      <c r="L34" s="4">
        <v>1380</v>
      </c>
      <c r="M34" s="5">
        <v>5.9</v>
      </c>
      <c r="N34" s="4">
        <v>2970</v>
      </c>
      <c r="O34" s="5">
        <v>12.8</v>
      </c>
      <c r="P34" s="4">
        <v>2430</v>
      </c>
      <c r="Q34" s="5">
        <v>10.5</v>
      </c>
      <c r="R34" s="4">
        <v>1728</v>
      </c>
      <c r="S34" s="5">
        <v>7.4</v>
      </c>
      <c r="T34" s="4">
        <v>1350</v>
      </c>
      <c r="U34" s="5">
        <v>5.8</v>
      </c>
      <c r="V34" s="4">
        <v>1100</v>
      </c>
      <c r="W34" s="5">
        <v>4.7</v>
      </c>
      <c r="X34" s="4">
        <v>456</v>
      </c>
      <c r="Y34" s="5">
        <v>2</v>
      </c>
      <c r="Z34" s="4">
        <v>0</v>
      </c>
      <c r="AA34" s="5">
        <v>0</v>
      </c>
      <c r="AB34" s="4">
        <v>22784</v>
      </c>
      <c r="AC34" s="4">
        <v>23240</v>
      </c>
      <c r="AD34">
        <v>15000</v>
      </c>
      <c r="AE34" s="8">
        <f t="shared" si="3"/>
        <v>8240</v>
      </c>
      <c r="AF34">
        <f t="shared" ref="AF34:AF65" si="4">AE34/AD34</f>
        <v>0.54933333333333334</v>
      </c>
      <c r="AG34">
        <f t="shared" si="1"/>
        <v>0.55000000000000004</v>
      </c>
      <c r="AH34" s="10">
        <v>23240</v>
      </c>
      <c r="AI34" s="12">
        <f t="shared" si="2"/>
        <v>8240</v>
      </c>
      <c r="AJ34">
        <f>(AH34-AD34)/AD34</f>
        <v>0.54933333333333334</v>
      </c>
      <c r="AK34">
        <f>AF34-AJ34</f>
        <v>0</v>
      </c>
    </row>
    <row r="35" spans="1:37" x14ac:dyDescent="0.35">
      <c r="A35" s="2">
        <v>34</v>
      </c>
      <c r="B35" s="3" t="s">
        <v>29</v>
      </c>
      <c r="C35" s="3" t="s">
        <v>30</v>
      </c>
      <c r="D35" s="3" t="s">
        <v>60</v>
      </c>
      <c r="E35" s="2">
        <v>790</v>
      </c>
      <c r="F35" s="2">
        <v>1</v>
      </c>
      <c r="G35" s="4">
        <v>95.05</v>
      </c>
      <c r="H35" s="3" t="s">
        <v>32</v>
      </c>
      <c r="I35" s="2">
        <v>0</v>
      </c>
      <c r="J35" s="4">
        <v>17302</v>
      </c>
      <c r="K35" s="5">
        <v>53.7</v>
      </c>
      <c r="L35" s="4">
        <v>1380</v>
      </c>
      <c r="M35" s="5">
        <v>4.3</v>
      </c>
      <c r="N35" s="4">
        <v>4345</v>
      </c>
      <c r="O35" s="5">
        <v>13.5</v>
      </c>
      <c r="P35" s="4">
        <v>3555</v>
      </c>
      <c r="Q35" s="5">
        <v>11</v>
      </c>
      <c r="R35" s="4">
        <v>2528</v>
      </c>
      <c r="S35" s="5">
        <v>7.9</v>
      </c>
      <c r="T35" s="4">
        <v>1350</v>
      </c>
      <c r="U35" s="5">
        <v>4.2</v>
      </c>
      <c r="V35" s="4">
        <v>1100</v>
      </c>
      <c r="W35" s="5">
        <v>3.4</v>
      </c>
      <c r="X35" s="4">
        <v>631</v>
      </c>
      <c r="Y35" s="5">
        <v>2</v>
      </c>
      <c r="Z35" s="4">
        <v>0</v>
      </c>
      <c r="AA35" s="5">
        <v>0</v>
      </c>
      <c r="AB35" s="4">
        <v>31560</v>
      </c>
      <c r="AC35" s="4">
        <v>32191</v>
      </c>
      <c r="AD35">
        <v>18300</v>
      </c>
      <c r="AE35" s="8">
        <f t="shared" si="3"/>
        <v>13891</v>
      </c>
      <c r="AF35">
        <f t="shared" si="4"/>
        <v>0.75907103825136613</v>
      </c>
      <c r="AG35">
        <f t="shared" si="1"/>
        <v>0.76</v>
      </c>
      <c r="AH35" s="10">
        <v>38629</v>
      </c>
      <c r="AI35" s="12">
        <f t="shared" si="2"/>
        <v>20329</v>
      </c>
      <c r="AJ35">
        <f>(AH35-AD35)/AD35</f>
        <v>1.1108743169398907</v>
      </c>
      <c r="AK35">
        <f>AF35-AJ35</f>
        <v>-0.35180327868852457</v>
      </c>
    </row>
    <row r="36" spans="1:37" x14ac:dyDescent="0.35">
      <c r="A36" s="2">
        <v>35</v>
      </c>
      <c r="B36" s="3" t="s">
        <v>29</v>
      </c>
      <c r="C36" s="3" t="s">
        <v>30</v>
      </c>
      <c r="D36" s="3" t="s">
        <v>61</v>
      </c>
      <c r="E36" s="2">
        <v>590</v>
      </c>
      <c r="F36" s="2">
        <v>1</v>
      </c>
      <c r="G36" s="4">
        <v>95.05</v>
      </c>
      <c r="H36" s="3" t="s">
        <v>32</v>
      </c>
      <c r="I36" s="2">
        <v>0</v>
      </c>
      <c r="J36" s="4">
        <v>12922</v>
      </c>
      <c r="K36" s="5">
        <v>51.6</v>
      </c>
      <c r="L36" s="4">
        <v>1380</v>
      </c>
      <c r="M36" s="5">
        <v>5.5</v>
      </c>
      <c r="N36" s="4">
        <v>3245</v>
      </c>
      <c r="O36" s="5">
        <v>13</v>
      </c>
      <c r="P36" s="4">
        <v>2655</v>
      </c>
      <c r="Q36" s="5">
        <v>10.6</v>
      </c>
      <c r="R36" s="4">
        <v>1888</v>
      </c>
      <c r="S36" s="5">
        <v>7.5</v>
      </c>
      <c r="T36" s="4">
        <v>1350</v>
      </c>
      <c r="U36" s="5">
        <v>5.4</v>
      </c>
      <c r="V36" s="4">
        <v>1100</v>
      </c>
      <c r="W36" s="5">
        <v>4.4000000000000004</v>
      </c>
      <c r="X36" s="4">
        <v>491</v>
      </c>
      <c r="Y36" s="5">
        <v>2</v>
      </c>
      <c r="Z36" s="4">
        <v>0</v>
      </c>
      <c r="AA36" s="5">
        <v>0</v>
      </c>
      <c r="AB36" s="4">
        <v>24540</v>
      </c>
      <c r="AC36" s="4">
        <v>25031</v>
      </c>
      <c r="AD36">
        <v>25100</v>
      </c>
      <c r="AE36" s="8">
        <f t="shared" si="3"/>
        <v>-69</v>
      </c>
      <c r="AF36">
        <f t="shared" si="4"/>
        <v>-2.7490039840637449E-3</v>
      </c>
      <c r="AG36">
        <f t="shared" si="1"/>
        <v>0</v>
      </c>
      <c r="AH36" s="10">
        <v>30037</v>
      </c>
      <c r="AI36" s="12">
        <f t="shared" si="2"/>
        <v>4937</v>
      </c>
      <c r="AJ36">
        <f>(AH36-AD36)/AD36</f>
        <v>0.19669322709163348</v>
      </c>
      <c r="AK36">
        <f>AF36-AJ36</f>
        <v>-0.19944223107569722</v>
      </c>
    </row>
    <row r="37" spans="1:37" x14ac:dyDescent="0.35">
      <c r="A37" s="2">
        <v>36</v>
      </c>
      <c r="B37" s="3" t="s">
        <v>29</v>
      </c>
      <c r="C37" s="3" t="s">
        <v>30</v>
      </c>
      <c r="D37" s="3" t="s">
        <v>62</v>
      </c>
      <c r="E37" s="2">
        <v>1050</v>
      </c>
      <c r="F37" s="2">
        <v>1</v>
      </c>
      <c r="G37" s="4">
        <v>95.05</v>
      </c>
      <c r="H37" s="3" t="s">
        <v>32</v>
      </c>
      <c r="I37" s="2">
        <v>0</v>
      </c>
      <c r="J37" s="4">
        <v>22996</v>
      </c>
      <c r="K37" s="5">
        <v>55.4</v>
      </c>
      <c r="L37" s="4">
        <v>1380</v>
      </c>
      <c r="M37" s="5">
        <v>3.3</v>
      </c>
      <c r="N37" s="4">
        <v>5775</v>
      </c>
      <c r="O37" s="5">
        <v>13.9</v>
      </c>
      <c r="P37" s="4">
        <v>4725</v>
      </c>
      <c r="Q37" s="5">
        <v>11.4</v>
      </c>
      <c r="R37" s="4">
        <v>3360</v>
      </c>
      <c r="S37" s="5">
        <v>8.1</v>
      </c>
      <c r="T37" s="4">
        <v>1350</v>
      </c>
      <c r="U37" s="5">
        <v>3.3</v>
      </c>
      <c r="V37" s="4">
        <v>1100</v>
      </c>
      <c r="W37" s="5">
        <v>2.7</v>
      </c>
      <c r="X37" s="4">
        <v>814</v>
      </c>
      <c r="Y37" s="5">
        <v>2</v>
      </c>
      <c r="Z37" s="4">
        <v>0</v>
      </c>
      <c r="AA37" s="5">
        <v>0</v>
      </c>
      <c r="AB37" s="4">
        <v>40686</v>
      </c>
      <c r="AC37" s="4">
        <v>41500</v>
      </c>
      <c r="AD37">
        <v>24400</v>
      </c>
      <c r="AE37" s="8">
        <f t="shared" si="3"/>
        <v>17100</v>
      </c>
      <c r="AF37">
        <f t="shared" si="4"/>
        <v>0.70081967213114749</v>
      </c>
      <c r="AG37">
        <f t="shared" si="1"/>
        <v>0.7</v>
      </c>
      <c r="AH37" s="10">
        <v>39425</v>
      </c>
      <c r="AI37" s="12">
        <f t="shared" si="2"/>
        <v>15025</v>
      </c>
      <c r="AJ37">
        <f>(AH37-AD37)/AD37</f>
        <v>0.61577868852459017</v>
      </c>
      <c r="AK37">
        <f>AF37-AJ37</f>
        <v>8.5040983606557319E-2</v>
      </c>
    </row>
    <row r="38" spans="1:37" x14ac:dyDescent="0.35">
      <c r="A38" s="2">
        <v>37</v>
      </c>
      <c r="B38" s="3" t="s">
        <v>29</v>
      </c>
      <c r="C38" s="3" t="s">
        <v>30</v>
      </c>
      <c r="D38" s="3" t="s">
        <v>63</v>
      </c>
      <c r="E38" s="2">
        <v>930</v>
      </c>
      <c r="F38" s="2">
        <v>1</v>
      </c>
      <c r="G38" s="4">
        <v>95.05</v>
      </c>
      <c r="H38" s="3" t="s">
        <v>32</v>
      </c>
      <c r="I38" s="2">
        <v>0</v>
      </c>
      <c r="J38" s="4">
        <v>20368</v>
      </c>
      <c r="K38" s="5">
        <v>54.7</v>
      </c>
      <c r="L38" s="4">
        <v>1380</v>
      </c>
      <c r="M38" s="5">
        <v>3.7</v>
      </c>
      <c r="N38" s="4">
        <v>5115</v>
      </c>
      <c r="O38" s="5">
        <v>13.7</v>
      </c>
      <c r="P38" s="4">
        <v>4185</v>
      </c>
      <c r="Q38" s="5">
        <v>11.2</v>
      </c>
      <c r="R38" s="4">
        <v>2976</v>
      </c>
      <c r="S38" s="5">
        <v>8</v>
      </c>
      <c r="T38" s="4">
        <v>1350</v>
      </c>
      <c r="U38" s="5">
        <v>3.6</v>
      </c>
      <c r="V38" s="4">
        <v>1100</v>
      </c>
      <c r="W38" s="5">
        <v>3</v>
      </c>
      <c r="X38" s="4">
        <v>729</v>
      </c>
      <c r="Y38" s="5">
        <v>2</v>
      </c>
      <c r="Z38" s="4">
        <v>0</v>
      </c>
      <c r="AA38" s="5">
        <v>0</v>
      </c>
      <c r="AB38" s="4">
        <v>36474</v>
      </c>
      <c r="AC38" s="4">
        <v>37203</v>
      </c>
      <c r="AD38">
        <v>26300</v>
      </c>
      <c r="AE38" s="8">
        <f t="shared" si="3"/>
        <v>10903</v>
      </c>
      <c r="AF38">
        <f t="shared" si="4"/>
        <v>0.41456273764258555</v>
      </c>
      <c r="AG38">
        <f t="shared" si="1"/>
        <v>0.41</v>
      </c>
      <c r="AH38" s="10">
        <v>37203</v>
      </c>
      <c r="AI38" s="12">
        <f t="shared" si="2"/>
        <v>10903</v>
      </c>
      <c r="AJ38">
        <f>(AH38-AD38)/AD38</f>
        <v>0.41456273764258555</v>
      </c>
      <c r="AK38">
        <f>AF38-AJ38</f>
        <v>0</v>
      </c>
    </row>
    <row r="39" spans="1:37" x14ac:dyDescent="0.35">
      <c r="A39" s="2">
        <v>38</v>
      </c>
      <c r="B39" s="3" t="s">
        <v>29</v>
      </c>
      <c r="C39" s="3" t="s">
        <v>30</v>
      </c>
      <c r="D39" s="3" t="s">
        <v>64</v>
      </c>
      <c r="E39" s="2">
        <v>540</v>
      </c>
      <c r="F39" s="2">
        <v>1</v>
      </c>
      <c r="G39" s="4">
        <v>95.05</v>
      </c>
      <c r="H39" s="3" t="s">
        <v>32</v>
      </c>
      <c r="I39" s="2">
        <v>0</v>
      </c>
      <c r="J39" s="4">
        <v>11826</v>
      </c>
      <c r="K39" s="5">
        <v>50.9</v>
      </c>
      <c r="L39" s="4">
        <v>1380</v>
      </c>
      <c r="M39" s="5">
        <v>5.9</v>
      </c>
      <c r="N39" s="4">
        <v>2970</v>
      </c>
      <c r="O39" s="5">
        <v>12.8</v>
      </c>
      <c r="P39" s="4">
        <v>2430</v>
      </c>
      <c r="Q39" s="5">
        <v>10.5</v>
      </c>
      <c r="R39" s="4">
        <v>1728</v>
      </c>
      <c r="S39" s="5">
        <v>7.4</v>
      </c>
      <c r="T39" s="4">
        <v>1350</v>
      </c>
      <c r="U39" s="5">
        <v>5.8</v>
      </c>
      <c r="V39" s="4">
        <v>1100</v>
      </c>
      <c r="W39" s="5">
        <v>4.7</v>
      </c>
      <c r="X39" s="4">
        <v>456</v>
      </c>
      <c r="Y39" s="5">
        <v>2</v>
      </c>
      <c r="Z39" s="4">
        <v>0</v>
      </c>
      <c r="AA39" s="5">
        <v>0</v>
      </c>
      <c r="AB39" s="4">
        <v>22784</v>
      </c>
      <c r="AC39" s="4">
        <v>23240</v>
      </c>
      <c r="AD39">
        <v>16900</v>
      </c>
      <c r="AE39" s="8">
        <f t="shared" si="3"/>
        <v>6340</v>
      </c>
      <c r="AF39">
        <f t="shared" si="4"/>
        <v>0.37514792899408284</v>
      </c>
      <c r="AG39">
        <f t="shared" si="1"/>
        <v>0.38</v>
      </c>
      <c r="AH39" s="10">
        <v>23240</v>
      </c>
      <c r="AI39" s="12">
        <f t="shared" si="2"/>
        <v>6340</v>
      </c>
      <c r="AJ39">
        <f>(AH39-AD39)/AD39</f>
        <v>0.37514792899408284</v>
      </c>
      <c r="AK39">
        <f>AF39-AJ39</f>
        <v>0</v>
      </c>
    </row>
    <row r="40" spans="1:37" x14ac:dyDescent="0.35">
      <c r="A40" s="2">
        <v>39</v>
      </c>
      <c r="B40" s="3" t="s">
        <v>29</v>
      </c>
      <c r="C40" s="3" t="s">
        <v>30</v>
      </c>
      <c r="D40" s="3" t="s">
        <v>65</v>
      </c>
      <c r="E40" s="2">
        <v>540</v>
      </c>
      <c r="F40" s="2">
        <v>1</v>
      </c>
      <c r="G40" s="4">
        <v>95.05</v>
      </c>
      <c r="H40" s="3" t="s">
        <v>32</v>
      </c>
      <c r="I40" s="2">
        <v>0</v>
      </c>
      <c r="J40" s="4">
        <v>11826</v>
      </c>
      <c r="K40" s="5">
        <v>50.9</v>
      </c>
      <c r="L40" s="4">
        <v>1380</v>
      </c>
      <c r="M40" s="5">
        <v>5.9</v>
      </c>
      <c r="N40" s="4">
        <v>2970</v>
      </c>
      <c r="O40" s="5">
        <v>12.8</v>
      </c>
      <c r="P40" s="4">
        <v>2430</v>
      </c>
      <c r="Q40" s="5">
        <v>10.5</v>
      </c>
      <c r="R40" s="4">
        <v>1728</v>
      </c>
      <c r="S40" s="5">
        <v>7.4</v>
      </c>
      <c r="T40" s="4">
        <v>1350</v>
      </c>
      <c r="U40" s="5">
        <v>5.8</v>
      </c>
      <c r="V40" s="4">
        <v>1100</v>
      </c>
      <c r="W40" s="5">
        <v>4.7</v>
      </c>
      <c r="X40" s="4">
        <v>456</v>
      </c>
      <c r="Y40" s="5">
        <v>2</v>
      </c>
      <c r="Z40" s="4">
        <v>0</v>
      </c>
      <c r="AA40" s="5">
        <v>0</v>
      </c>
      <c r="AB40" s="4">
        <v>22784</v>
      </c>
      <c r="AC40" s="4">
        <v>23240</v>
      </c>
      <c r="AD40">
        <v>14650</v>
      </c>
      <c r="AE40" s="8">
        <f t="shared" si="3"/>
        <v>8590</v>
      </c>
      <c r="AF40">
        <f t="shared" si="4"/>
        <v>0.58634812286689419</v>
      </c>
      <c r="AG40">
        <f t="shared" si="1"/>
        <v>0.59</v>
      </c>
      <c r="AH40" s="10">
        <v>23240</v>
      </c>
      <c r="AI40" s="12">
        <f t="shared" si="2"/>
        <v>8590</v>
      </c>
      <c r="AJ40">
        <f>(AH40-AD40)/AD40</f>
        <v>0.58634812286689419</v>
      </c>
      <c r="AK40">
        <f>AF40-AJ40</f>
        <v>0</v>
      </c>
    </row>
    <row r="41" spans="1:37" x14ac:dyDescent="0.35">
      <c r="A41" s="2">
        <v>40</v>
      </c>
      <c r="B41" s="3" t="s">
        <v>29</v>
      </c>
      <c r="C41" s="3" t="s">
        <v>30</v>
      </c>
      <c r="D41" s="3" t="s">
        <v>66</v>
      </c>
      <c r="E41" s="2">
        <v>870</v>
      </c>
      <c r="F41" s="2">
        <v>1</v>
      </c>
      <c r="G41" s="4">
        <v>95.05</v>
      </c>
      <c r="H41" s="3" t="s">
        <v>32</v>
      </c>
      <c r="I41" s="2">
        <v>0</v>
      </c>
      <c r="J41" s="4">
        <v>19054</v>
      </c>
      <c r="K41" s="5">
        <v>54.4</v>
      </c>
      <c r="L41" s="4">
        <v>1380</v>
      </c>
      <c r="M41" s="5">
        <v>3.9</v>
      </c>
      <c r="N41" s="4">
        <v>4785</v>
      </c>
      <c r="O41" s="5">
        <v>13.6</v>
      </c>
      <c r="P41" s="4">
        <v>3915</v>
      </c>
      <c r="Q41" s="5">
        <v>11.2</v>
      </c>
      <c r="R41" s="4">
        <v>2784</v>
      </c>
      <c r="S41" s="5">
        <v>7.9</v>
      </c>
      <c r="T41" s="4">
        <v>1350</v>
      </c>
      <c r="U41" s="5">
        <v>3.9</v>
      </c>
      <c r="V41" s="4">
        <v>1100</v>
      </c>
      <c r="W41" s="5">
        <v>3.1</v>
      </c>
      <c r="X41" s="4">
        <v>687</v>
      </c>
      <c r="Y41" s="5">
        <v>2</v>
      </c>
      <c r="Z41" s="4">
        <v>0</v>
      </c>
      <c r="AA41" s="5">
        <v>0</v>
      </c>
      <c r="AB41" s="4">
        <v>34368</v>
      </c>
      <c r="AC41" s="4">
        <v>35055</v>
      </c>
      <c r="AD41">
        <v>23900</v>
      </c>
      <c r="AE41" s="8">
        <f t="shared" si="3"/>
        <v>11155</v>
      </c>
      <c r="AF41">
        <f t="shared" si="4"/>
        <v>0.46673640167364017</v>
      </c>
      <c r="AG41">
        <f t="shared" si="1"/>
        <v>0.47</v>
      </c>
      <c r="AH41" s="10">
        <v>33302</v>
      </c>
      <c r="AI41" s="12">
        <f t="shared" si="2"/>
        <v>9402</v>
      </c>
      <c r="AJ41">
        <f>(AH41-AD41)/AD41</f>
        <v>0.39338912133891213</v>
      </c>
      <c r="AK41">
        <f>AF41-AJ41</f>
        <v>7.3347280334728038E-2</v>
      </c>
    </row>
    <row r="42" spans="1:37" x14ac:dyDescent="0.35">
      <c r="A42" s="2">
        <v>41</v>
      </c>
      <c r="B42" s="3" t="s">
        <v>29</v>
      </c>
      <c r="C42" s="3" t="s">
        <v>30</v>
      </c>
      <c r="D42" s="3" t="s">
        <v>67</v>
      </c>
      <c r="E42" s="2">
        <v>1050</v>
      </c>
      <c r="F42" s="2">
        <v>1</v>
      </c>
      <c r="G42" s="4">
        <v>95.05</v>
      </c>
      <c r="H42" s="3" t="s">
        <v>32</v>
      </c>
      <c r="I42" s="2">
        <v>0</v>
      </c>
      <c r="J42" s="4">
        <v>22996</v>
      </c>
      <c r="K42" s="5">
        <v>55.4</v>
      </c>
      <c r="L42" s="4">
        <v>1380</v>
      </c>
      <c r="M42" s="5">
        <v>3.3</v>
      </c>
      <c r="N42" s="4">
        <v>5775</v>
      </c>
      <c r="O42" s="5">
        <v>13.9</v>
      </c>
      <c r="P42" s="4">
        <v>4725</v>
      </c>
      <c r="Q42" s="5">
        <v>11.4</v>
      </c>
      <c r="R42" s="4">
        <v>3360</v>
      </c>
      <c r="S42" s="5">
        <v>8.1</v>
      </c>
      <c r="T42" s="4">
        <v>1350</v>
      </c>
      <c r="U42" s="5">
        <v>3.3</v>
      </c>
      <c r="V42" s="4">
        <v>1100</v>
      </c>
      <c r="W42" s="5">
        <v>2.7</v>
      </c>
      <c r="X42" s="4">
        <v>814</v>
      </c>
      <c r="Y42" s="5">
        <v>2</v>
      </c>
      <c r="Z42" s="4">
        <v>0</v>
      </c>
      <c r="AA42" s="5">
        <v>0</v>
      </c>
      <c r="AB42" s="4">
        <v>40686</v>
      </c>
      <c r="AC42" s="4">
        <v>41500</v>
      </c>
      <c r="AD42">
        <v>24400</v>
      </c>
      <c r="AE42" s="8">
        <f t="shared" si="3"/>
        <v>17100</v>
      </c>
      <c r="AF42">
        <f t="shared" si="4"/>
        <v>0.70081967213114749</v>
      </c>
      <c r="AG42">
        <f t="shared" si="1"/>
        <v>0.7</v>
      </c>
      <c r="AH42" s="10">
        <v>41500</v>
      </c>
      <c r="AI42" s="12">
        <f t="shared" si="2"/>
        <v>17100</v>
      </c>
      <c r="AJ42">
        <f>(AH42-AD42)/AD42</f>
        <v>0.70081967213114749</v>
      </c>
      <c r="AK42">
        <f>AF42-AJ42</f>
        <v>0</v>
      </c>
    </row>
    <row r="43" spans="1:37" x14ac:dyDescent="0.35">
      <c r="A43" s="2">
        <v>42</v>
      </c>
      <c r="B43" s="3" t="s">
        <v>29</v>
      </c>
      <c r="C43" s="3" t="s">
        <v>30</v>
      </c>
      <c r="D43" s="3" t="s">
        <v>68</v>
      </c>
      <c r="E43" s="2">
        <v>930</v>
      </c>
      <c r="F43" s="2">
        <v>1</v>
      </c>
      <c r="G43" s="4">
        <v>95.05</v>
      </c>
      <c r="H43" s="3" t="s">
        <v>32</v>
      </c>
      <c r="I43" s="2">
        <v>0</v>
      </c>
      <c r="J43" s="4">
        <v>20368</v>
      </c>
      <c r="K43" s="5">
        <v>54.7</v>
      </c>
      <c r="L43" s="4">
        <v>1380</v>
      </c>
      <c r="M43" s="5">
        <v>3.7</v>
      </c>
      <c r="N43" s="4">
        <v>5115</v>
      </c>
      <c r="O43" s="5">
        <v>13.7</v>
      </c>
      <c r="P43" s="4">
        <v>4185</v>
      </c>
      <c r="Q43" s="5">
        <v>11.2</v>
      </c>
      <c r="R43" s="4">
        <v>2976</v>
      </c>
      <c r="S43" s="5">
        <v>8</v>
      </c>
      <c r="T43" s="4">
        <v>1350</v>
      </c>
      <c r="U43" s="5">
        <v>3.6</v>
      </c>
      <c r="V43" s="4">
        <v>1100</v>
      </c>
      <c r="W43" s="5">
        <v>3</v>
      </c>
      <c r="X43" s="4">
        <v>729</v>
      </c>
      <c r="Y43" s="5">
        <v>2</v>
      </c>
      <c r="Z43" s="4">
        <v>0</v>
      </c>
      <c r="AA43" s="5">
        <v>0</v>
      </c>
      <c r="AB43" s="4">
        <v>36474</v>
      </c>
      <c r="AC43" s="4">
        <v>37203</v>
      </c>
      <c r="AD43">
        <v>26300</v>
      </c>
      <c r="AE43" s="8">
        <f t="shared" si="3"/>
        <v>10903</v>
      </c>
      <c r="AF43">
        <f t="shared" si="4"/>
        <v>0.41456273764258555</v>
      </c>
      <c r="AG43">
        <f t="shared" si="1"/>
        <v>0.41</v>
      </c>
      <c r="AH43" s="10">
        <v>37203</v>
      </c>
      <c r="AI43" s="12">
        <f t="shared" si="2"/>
        <v>10903</v>
      </c>
      <c r="AJ43">
        <f>(AH43-AD43)/AD43</f>
        <v>0.41456273764258555</v>
      </c>
      <c r="AK43">
        <f>AF43-AJ43</f>
        <v>0</v>
      </c>
    </row>
    <row r="44" spans="1:37" x14ac:dyDescent="0.35">
      <c r="A44" s="2">
        <v>43</v>
      </c>
      <c r="B44" s="3" t="s">
        <v>29</v>
      </c>
      <c r="C44" s="3" t="s">
        <v>30</v>
      </c>
      <c r="D44" s="3" t="s">
        <v>69</v>
      </c>
      <c r="E44" s="2">
        <v>870</v>
      </c>
      <c r="F44" s="2">
        <v>1</v>
      </c>
      <c r="G44" s="4">
        <v>95.05</v>
      </c>
      <c r="H44" s="3" t="s">
        <v>32</v>
      </c>
      <c r="I44" s="2">
        <v>0</v>
      </c>
      <c r="J44" s="4">
        <v>19054</v>
      </c>
      <c r="K44" s="5">
        <v>54.4</v>
      </c>
      <c r="L44" s="4">
        <v>1380</v>
      </c>
      <c r="M44" s="5">
        <v>3.9</v>
      </c>
      <c r="N44" s="4">
        <v>4785</v>
      </c>
      <c r="O44" s="5">
        <v>13.6</v>
      </c>
      <c r="P44" s="4">
        <v>3915</v>
      </c>
      <c r="Q44" s="5">
        <v>11.2</v>
      </c>
      <c r="R44" s="4">
        <v>2784</v>
      </c>
      <c r="S44" s="5">
        <v>7.9</v>
      </c>
      <c r="T44" s="4">
        <v>1350</v>
      </c>
      <c r="U44" s="5">
        <v>3.9</v>
      </c>
      <c r="V44" s="4">
        <v>1100</v>
      </c>
      <c r="W44" s="5">
        <v>3.1</v>
      </c>
      <c r="X44" s="4">
        <v>687</v>
      </c>
      <c r="Y44" s="5">
        <v>2</v>
      </c>
      <c r="Z44" s="4">
        <v>0</v>
      </c>
      <c r="AA44" s="5">
        <v>0</v>
      </c>
      <c r="AB44" s="4">
        <v>34368</v>
      </c>
      <c r="AC44" s="4">
        <v>35055</v>
      </c>
      <c r="AD44">
        <v>24950</v>
      </c>
      <c r="AE44" s="8">
        <f t="shared" si="3"/>
        <v>10105</v>
      </c>
      <c r="AF44">
        <f t="shared" si="4"/>
        <v>0.40501002004008019</v>
      </c>
      <c r="AG44">
        <f t="shared" si="1"/>
        <v>0.41</v>
      </c>
      <c r="AH44" s="10">
        <v>35055</v>
      </c>
      <c r="AI44" s="12">
        <f t="shared" si="2"/>
        <v>10105</v>
      </c>
      <c r="AJ44">
        <f>(AH44-AD44)/AD44</f>
        <v>0.40501002004008019</v>
      </c>
      <c r="AK44">
        <f>AF44-AJ44</f>
        <v>0</v>
      </c>
    </row>
    <row r="45" spans="1:37" x14ac:dyDescent="0.35">
      <c r="A45" s="2">
        <v>44</v>
      </c>
      <c r="B45" s="3" t="s">
        <v>29</v>
      </c>
      <c r="C45" s="3" t="s">
        <v>30</v>
      </c>
      <c r="D45" s="3" t="s">
        <v>70</v>
      </c>
      <c r="E45" s="2">
        <v>560</v>
      </c>
      <c r="F45" s="2">
        <v>1</v>
      </c>
      <c r="G45" s="4">
        <v>95.05</v>
      </c>
      <c r="H45" s="3" t="s">
        <v>32</v>
      </c>
      <c r="I45" s="2">
        <v>0</v>
      </c>
      <c r="J45" s="4">
        <v>12265</v>
      </c>
      <c r="K45" s="5">
        <v>51.2</v>
      </c>
      <c r="L45" s="4">
        <v>1380</v>
      </c>
      <c r="M45" s="5">
        <v>5.8</v>
      </c>
      <c r="N45" s="4">
        <v>3080</v>
      </c>
      <c r="O45" s="5">
        <v>12.9</v>
      </c>
      <c r="P45" s="4">
        <v>2520</v>
      </c>
      <c r="Q45" s="5">
        <v>10.5</v>
      </c>
      <c r="R45" s="4">
        <v>1792</v>
      </c>
      <c r="S45" s="5">
        <v>7.5</v>
      </c>
      <c r="T45" s="4">
        <v>1350</v>
      </c>
      <c r="U45" s="5">
        <v>5.6</v>
      </c>
      <c r="V45" s="4">
        <v>1100</v>
      </c>
      <c r="W45" s="5">
        <v>4.5999999999999996</v>
      </c>
      <c r="X45" s="4">
        <v>470</v>
      </c>
      <c r="Y45" s="5">
        <v>2</v>
      </c>
      <c r="Z45" s="4">
        <v>0</v>
      </c>
      <c r="AA45" s="5">
        <v>0</v>
      </c>
      <c r="AB45" s="4">
        <v>23487</v>
      </c>
      <c r="AC45" s="4">
        <v>23957</v>
      </c>
      <c r="AD45">
        <v>24500</v>
      </c>
      <c r="AE45" s="8">
        <f t="shared" si="3"/>
        <v>-543</v>
      </c>
      <c r="AF45">
        <f t="shared" si="4"/>
        <v>-2.2163265306122448E-2</v>
      </c>
      <c r="AG45">
        <f t="shared" si="1"/>
        <v>-0.02</v>
      </c>
      <c r="AH45" s="10">
        <v>23957</v>
      </c>
      <c r="AI45" s="12">
        <f t="shared" si="2"/>
        <v>-543</v>
      </c>
      <c r="AJ45">
        <f>(AH45-AD45)/AD45</f>
        <v>-2.2163265306122448E-2</v>
      </c>
      <c r="AK45">
        <f>AF45-AJ45</f>
        <v>0</v>
      </c>
    </row>
    <row r="46" spans="1:37" x14ac:dyDescent="0.35">
      <c r="A46" s="2">
        <v>45</v>
      </c>
      <c r="B46" s="3" t="s">
        <v>29</v>
      </c>
      <c r="C46" s="3" t="s">
        <v>30</v>
      </c>
      <c r="D46" s="3" t="s">
        <v>71</v>
      </c>
      <c r="E46" s="2">
        <v>560</v>
      </c>
      <c r="F46" s="2">
        <v>1</v>
      </c>
      <c r="G46" s="4">
        <v>95.05</v>
      </c>
      <c r="H46" s="3" t="s">
        <v>32</v>
      </c>
      <c r="I46" s="2">
        <v>0</v>
      </c>
      <c r="J46" s="4">
        <v>12265</v>
      </c>
      <c r="K46" s="5">
        <v>51.2</v>
      </c>
      <c r="L46" s="4">
        <v>1380</v>
      </c>
      <c r="M46" s="5">
        <v>5.8</v>
      </c>
      <c r="N46" s="4">
        <v>3080</v>
      </c>
      <c r="O46" s="5">
        <v>12.9</v>
      </c>
      <c r="P46" s="4">
        <v>2520</v>
      </c>
      <c r="Q46" s="5">
        <v>10.5</v>
      </c>
      <c r="R46" s="4">
        <v>1792</v>
      </c>
      <c r="S46" s="5">
        <v>7.5</v>
      </c>
      <c r="T46" s="4">
        <v>1350</v>
      </c>
      <c r="U46" s="5">
        <v>5.6</v>
      </c>
      <c r="V46" s="4">
        <v>1100</v>
      </c>
      <c r="W46" s="5">
        <v>4.5999999999999996</v>
      </c>
      <c r="X46" s="4">
        <v>470</v>
      </c>
      <c r="Y46" s="5">
        <v>2</v>
      </c>
      <c r="Z46" s="4">
        <v>0</v>
      </c>
      <c r="AA46" s="5">
        <v>0</v>
      </c>
      <c r="AB46" s="4">
        <v>23487</v>
      </c>
      <c r="AC46" s="4">
        <v>23957</v>
      </c>
      <c r="AD46">
        <v>25100</v>
      </c>
      <c r="AE46" s="8">
        <f t="shared" si="3"/>
        <v>-1143</v>
      </c>
      <c r="AF46">
        <f t="shared" si="4"/>
        <v>-4.5537848605577691E-2</v>
      </c>
      <c r="AG46">
        <f t="shared" si="1"/>
        <v>-0.05</v>
      </c>
      <c r="AH46" s="10">
        <v>23957</v>
      </c>
      <c r="AI46" s="12">
        <f t="shared" si="2"/>
        <v>-1143</v>
      </c>
      <c r="AJ46">
        <f>(AH46-AD46)/AD46</f>
        <v>-4.5537848605577691E-2</v>
      </c>
      <c r="AK46">
        <f>AF46-AJ46</f>
        <v>0</v>
      </c>
    </row>
    <row r="47" spans="1:37" x14ac:dyDescent="0.35">
      <c r="A47" s="2">
        <v>46</v>
      </c>
      <c r="B47" s="3" t="s">
        <v>29</v>
      </c>
      <c r="C47" s="3" t="s">
        <v>30</v>
      </c>
      <c r="D47" s="3" t="s">
        <v>72</v>
      </c>
      <c r="E47" s="2">
        <v>270</v>
      </c>
      <c r="F47" s="2">
        <v>1</v>
      </c>
      <c r="G47" s="4">
        <v>95.05</v>
      </c>
      <c r="H47" s="3" t="s">
        <v>32</v>
      </c>
      <c r="I47" s="2">
        <v>0</v>
      </c>
      <c r="J47" s="4">
        <v>5913</v>
      </c>
      <c r="K47" s="5">
        <v>43.6</v>
      </c>
      <c r="L47" s="4">
        <v>1380</v>
      </c>
      <c r="M47" s="5">
        <v>10.199999999999999</v>
      </c>
      <c r="N47" s="4">
        <v>1485</v>
      </c>
      <c r="O47" s="5">
        <v>10.9</v>
      </c>
      <c r="P47" s="4">
        <v>1215</v>
      </c>
      <c r="Q47" s="5">
        <v>9</v>
      </c>
      <c r="R47" s="4">
        <v>864</v>
      </c>
      <c r="S47" s="5">
        <v>6.4</v>
      </c>
      <c r="T47" s="4">
        <v>1350</v>
      </c>
      <c r="U47" s="5">
        <v>9.9</v>
      </c>
      <c r="V47" s="4">
        <v>1100</v>
      </c>
      <c r="W47" s="5">
        <v>8.1</v>
      </c>
      <c r="X47" s="4">
        <v>266</v>
      </c>
      <c r="Y47" s="5">
        <v>2</v>
      </c>
      <c r="Z47" s="4">
        <v>0</v>
      </c>
      <c r="AA47" s="5">
        <v>0</v>
      </c>
      <c r="AB47" s="4">
        <v>13307</v>
      </c>
      <c r="AC47" s="4">
        <v>13573</v>
      </c>
      <c r="AD47">
        <v>16300</v>
      </c>
      <c r="AE47" s="8">
        <f t="shared" si="3"/>
        <v>-2727</v>
      </c>
      <c r="AF47">
        <f t="shared" si="4"/>
        <v>-0.16730061349693251</v>
      </c>
      <c r="AG47">
        <f t="shared" si="1"/>
        <v>-0.17</v>
      </c>
      <c r="AH47" s="10">
        <v>16288</v>
      </c>
      <c r="AI47" s="12">
        <f t="shared" si="2"/>
        <v>-12</v>
      </c>
      <c r="AJ47">
        <f>(AH47-AD47)/AD47</f>
        <v>-7.3619631901840495E-4</v>
      </c>
      <c r="AK47">
        <f>AF47-AJ47</f>
        <v>-0.16656441717791409</v>
      </c>
    </row>
    <row r="48" spans="1:37" x14ac:dyDescent="0.35">
      <c r="A48" s="2">
        <v>47</v>
      </c>
      <c r="B48" s="3" t="s">
        <v>29</v>
      </c>
      <c r="C48" s="3" t="s">
        <v>30</v>
      </c>
      <c r="D48" s="3" t="s">
        <v>73</v>
      </c>
      <c r="E48" s="2">
        <v>530</v>
      </c>
      <c r="F48" s="2">
        <v>1</v>
      </c>
      <c r="G48" s="4">
        <v>95.05</v>
      </c>
      <c r="H48" s="3" t="s">
        <v>32</v>
      </c>
      <c r="I48" s="2">
        <v>0</v>
      </c>
      <c r="J48" s="4">
        <v>11607</v>
      </c>
      <c r="K48" s="5">
        <v>50.7</v>
      </c>
      <c r="L48" s="4">
        <v>1380</v>
      </c>
      <c r="M48" s="5">
        <v>6</v>
      </c>
      <c r="N48" s="4">
        <v>2915</v>
      </c>
      <c r="O48" s="5">
        <v>12.7</v>
      </c>
      <c r="P48" s="4">
        <v>2385</v>
      </c>
      <c r="Q48" s="5">
        <v>10.4</v>
      </c>
      <c r="R48" s="4">
        <v>1696</v>
      </c>
      <c r="S48" s="5">
        <v>7.4</v>
      </c>
      <c r="T48" s="4">
        <v>1350</v>
      </c>
      <c r="U48" s="5">
        <v>5.9</v>
      </c>
      <c r="V48" s="4">
        <v>1100</v>
      </c>
      <c r="W48" s="5">
        <v>4.8</v>
      </c>
      <c r="X48" s="4">
        <v>449</v>
      </c>
      <c r="Y48" s="5">
        <v>2</v>
      </c>
      <c r="Z48" s="4">
        <v>0</v>
      </c>
      <c r="AA48" s="5">
        <v>0</v>
      </c>
      <c r="AB48" s="4">
        <v>22433</v>
      </c>
      <c r="AC48" s="4">
        <v>22882</v>
      </c>
      <c r="AD48">
        <v>14250</v>
      </c>
      <c r="AE48" s="8">
        <f t="shared" si="3"/>
        <v>8632</v>
      </c>
      <c r="AF48">
        <f t="shared" si="4"/>
        <v>0.60575438596491227</v>
      </c>
      <c r="AG48">
        <f t="shared" si="1"/>
        <v>0.61</v>
      </c>
      <c r="AH48" s="10">
        <v>22882</v>
      </c>
      <c r="AI48" s="12">
        <f t="shared" si="2"/>
        <v>8632</v>
      </c>
      <c r="AJ48">
        <f>(AH48-AD48)/AD48</f>
        <v>0.60575438596491227</v>
      </c>
      <c r="AK48">
        <f>AF48-AJ48</f>
        <v>0</v>
      </c>
    </row>
    <row r="49" spans="1:37" x14ac:dyDescent="0.35">
      <c r="A49" s="2">
        <v>48</v>
      </c>
      <c r="B49" s="3" t="s">
        <v>29</v>
      </c>
      <c r="C49" s="3" t="s">
        <v>30</v>
      </c>
      <c r="D49" s="3" t="s">
        <v>74</v>
      </c>
      <c r="E49" s="2">
        <v>960</v>
      </c>
      <c r="F49" s="2">
        <v>1</v>
      </c>
      <c r="G49" s="4">
        <v>95.05</v>
      </c>
      <c r="H49" s="3" t="s">
        <v>32</v>
      </c>
      <c r="I49" s="2">
        <v>0</v>
      </c>
      <c r="J49" s="4">
        <v>21025</v>
      </c>
      <c r="K49" s="5">
        <v>54.9</v>
      </c>
      <c r="L49" s="4">
        <v>1380</v>
      </c>
      <c r="M49" s="5">
        <v>3.6</v>
      </c>
      <c r="N49" s="4">
        <v>5280</v>
      </c>
      <c r="O49" s="5">
        <v>13.8</v>
      </c>
      <c r="P49" s="4">
        <v>4320</v>
      </c>
      <c r="Q49" s="5">
        <v>11.3</v>
      </c>
      <c r="R49" s="4">
        <v>3072</v>
      </c>
      <c r="S49" s="5">
        <v>8</v>
      </c>
      <c r="T49" s="4">
        <v>1350</v>
      </c>
      <c r="U49" s="5">
        <v>3.5</v>
      </c>
      <c r="V49" s="4">
        <v>1100</v>
      </c>
      <c r="W49" s="5">
        <v>2.9</v>
      </c>
      <c r="X49" s="4">
        <v>751</v>
      </c>
      <c r="Y49" s="5">
        <v>2</v>
      </c>
      <c r="Z49" s="4">
        <v>0</v>
      </c>
      <c r="AA49" s="5">
        <v>0</v>
      </c>
      <c r="AB49" s="4">
        <v>37527</v>
      </c>
      <c r="AC49" s="4">
        <v>38278</v>
      </c>
      <c r="AD49">
        <v>25400</v>
      </c>
      <c r="AE49" s="8">
        <f t="shared" si="3"/>
        <v>12878</v>
      </c>
      <c r="AF49">
        <f t="shared" si="4"/>
        <v>0.50700787401574798</v>
      </c>
      <c r="AG49">
        <f t="shared" si="1"/>
        <v>0.51</v>
      </c>
      <c r="AH49" s="10">
        <v>38278</v>
      </c>
      <c r="AI49" s="12">
        <f t="shared" si="2"/>
        <v>12878</v>
      </c>
      <c r="AJ49">
        <f>(AH49-AD49)/AD49</f>
        <v>0.50700787401574798</v>
      </c>
      <c r="AK49">
        <f>AF49-AJ49</f>
        <v>0</v>
      </c>
    </row>
    <row r="50" spans="1:37" x14ac:dyDescent="0.35">
      <c r="A50" s="2">
        <v>49</v>
      </c>
      <c r="B50" s="3" t="s">
        <v>29</v>
      </c>
      <c r="C50" s="3" t="s">
        <v>30</v>
      </c>
      <c r="D50" s="3" t="s">
        <v>75</v>
      </c>
      <c r="E50" s="2">
        <v>120</v>
      </c>
      <c r="F50" s="2">
        <v>1</v>
      </c>
      <c r="G50" s="4">
        <v>95.05</v>
      </c>
      <c r="H50" s="3" t="s">
        <v>32</v>
      </c>
      <c r="I50" s="2">
        <v>0</v>
      </c>
      <c r="J50" s="4">
        <v>2628</v>
      </c>
      <c r="K50" s="5">
        <v>32</v>
      </c>
      <c r="L50" s="4">
        <v>1380</v>
      </c>
      <c r="M50" s="5">
        <v>16.8</v>
      </c>
      <c r="N50" s="4">
        <v>660</v>
      </c>
      <c r="O50" s="5">
        <v>8</v>
      </c>
      <c r="P50" s="4">
        <v>540</v>
      </c>
      <c r="Q50" s="5">
        <v>6.6</v>
      </c>
      <c r="R50" s="4">
        <v>384</v>
      </c>
      <c r="S50" s="5">
        <v>4.7</v>
      </c>
      <c r="T50" s="4">
        <v>1350</v>
      </c>
      <c r="U50" s="5">
        <v>16.5</v>
      </c>
      <c r="V50" s="4">
        <v>1100</v>
      </c>
      <c r="W50" s="5">
        <v>13.4</v>
      </c>
      <c r="X50" s="4">
        <v>161</v>
      </c>
      <c r="Y50" s="5">
        <v>2</v>
      </c>
      <c r="Z50" s="4">
        <v>0</v>
      </c>
      <c r="AA50" s="5">
        <v>0</v>
      </c>
      <c r="AB50" s="4">
        <v>8042</v>
      </c>
      <c r="AC50" s="4">
        <v>8203</v>
      </c>
      <c r="AD50">
        <v>6850</v>
      </c>
      <c r="AE50" s="8">
        <f t="shared" si="3"/>
        <v>1353</v>
      </c>
      <c r="AF50">
        <f t="shared" si="4"/>
        <v>0.19751824817518249</v>
      </c>
      <c r="AG50">
        <f t="shared" si="1"/>
        <v>0.2</v>
      </c>
      <c r="AH50" s="10">
        <v>8203</v>
      </c>
      <c r="AI50" s="12">
        <f t="shared" si="2"/>
        <v>1353</v>
      </c>
      <c r="AJ50">
        <f>(AH50-AD50)/AD50</f>
        <v>0.19751824817518249</v>
      </c>
      <c r="AK50">
        <f>AF50-AJ50</f>
        <v>0</v>
      </c>
    </row>
    <row r="51" spans="1:37" x14ac:dyDescent="0.35">
      <c r="A51" s="2">
        <v>50</v>
      </c>
      <c r="B51" s="3" t="s">
        <v>29</v>
      </c>
      <c r="C51" s="3" t="s">
        <v>30</v>
      </c>
      <c r="D51" s="3" t="s">
        <v>76</v>
      </c>
      <c r="E51" s="2">
        <v>55</v>
      </c>
      <c r="F51" s="2">
        <v>1</v>
      </c>
      <c r="G51" s="4">
        <v>95.05</v>
      </c>
      <c r="H51" s="3" t="s">
        <v>32</v>
      </c>
      <c r="I51" s="2">
        <v>0</v>
      </c>
      <c r="J51" s="4">
        <v>1205</v>
      </c>
      <c r="K51" s="5">
        <v>20.5</v>
      </c>
      <c r="L51" s="4">
        <v>1380</v>
      </c>
      <c r="M51" s="5">
        <v>23.5</v>
      </c>
      <c r="N51" s="4">
        <v>303</v>
      </c>
      <c r="O51" s="5">
        <v>5.2</v>
      </c>
      <c r="P51" s="4">
        <v>248</v>
      </c>
      <c r="Q51" s="5">
        <v>4.2</v>
      </c>
      <c r="R51" s="4">
        <v>176</v>
      </c>
      <c r="S51" s="5">
        <v>3</v>
      </c>
      <c r="T51" s="4">
        <v>1350</v>
      </c>
      <c r="U51" s="5">
        <v>23</v>
      </c>
      <c r="V51" s="4">
        <v>1100</v>
      </c>
      <c r="W51" s="5">
        <v>18.7</v>
      </c>
      <c r="X51" s="4">
        <v>115</v>
      </c>
      <c r="Y51" s="5">
        <v>2</v>
      </c>
      <c r="Z51" s="4">
        <v>0</v>
      </c>
      <c r="AA51" s="5">
        <v>0</v>
      </c>
      <c r="AB51" s="4">
        <v>5762</v>
      </c>
      <c r="AC51" s="4">
        <v>5877</v>
      </c>
      <c r="AD51">
        <v>7450</v>
      </c>
      <c r="AE51" s="8">
        <f t="shared" si="3"/>
        <v>-1573</v>
      </c>
      <c r="AF51">
        <f t="shared" si="4"/>
        <v>-0.21114093959731545</v>
      </c>
      <c r="AG51">
        <f t="shared" si="1"/>
        <v>-0.21</v>
      </c>
      <c r="AH51" s="10">
        <v>5877</v>
      </c>
      <c r="AI51" s="12">
        <f t="shared" si="2"/>
        <v>-1573</v>
      </c>
      <c r="AJ51">
        <f>(AH51-AD51)/AD51</f>
        <v>-0.21114093959731545</v>
      </c>
      <c r="AK51">
        <f>AF51-AJ51</f>
        <v>0</v>
      </c>
    </row>
    <row r="52" spans="1:37" x14ac:dyDescent="0.35">
      <c r="A52" s="2">
        <v>51</v>
      </c>
      <c r="B52" s="3" t="s">
        <v>33</v>
      </c>
      <c r="C52" s="3" t="s">
        <v>30</v>
      </c>
      <c r="D52" s="3" t="s">
        <v>77</v>
      </c>
      <c r="E52" s="2">
        <v>640</v>
      </c>
      <c r="F52" s="2">
        <v>1</v>
      </c>
      <c r="G52" s="4">
        <v>95.05</v>
      </c>
      <c r="H52" s="3" t="s">
        <v>32</v>
      </c>
      <c r="I52" s="2">
        <v>0</v>
      </c>
      <c r="J52" s="4">
        <v>9148</v>
      </c>
      <c r="K52" s="5">
        <v>52.3</v>
      </c>
      <c r="L52" s="4">
        <v>1000</v>
      </c>
      <c r="M52" s="5">
        <v>5.7</v>
      </c>
      <c r="N52" s="4">
        <v>2304</v>
      </c>
      <c r="O52" s="5">
        <v>13.2</v>
      </c>
      <c r="P52" s="4">
        <v>1600</v>
      </c>
      <c r="Q52" s="5">
        <v>9.1</v>
      </c>
      <c r="R52" s="4">
        <v>1472</v>
      </c>
      <c r="S52" s="5">
        <v>8.4</v>
      </c>
      <c r="T52" s="4">
        <v>863</v>
      </c>
      <c r="U52" s="5">
        <v>4.9000000000000004</v>
      </c>
      <c r="V52" s="4">
        <v>760</v>
      </c>
      <c r="W52" s="5">
        <v>4.3</v>
      </c>
      <c r="X52" s="4">
        <v>343</v>
      </c>
      <c r="Y52" s="5">
        <v>2</v>
      </c>
      <c r="Z52" s="4">
        <v>0</v>
      </c>
      <c r="AA52" s="5">
        <v>0</v>
      </c>
      <c r="AB52" s="4">
        <v>17147</v>
      </c>
      <c r="AC52" s="4">
        <v>17490</v>
      </c>
      <c r="AD52">
        <v>22900</v>
      </c>
      <c r="AE52" s="8">
        <f t="shared" si="3"/>
        <v>-5410</v>
      </c>
      <c r="AF52">
        <f t="shared" si="4"/>
        <v>-0.23624454148471616</v>
      </c>
      <c r="AG52">
        <f t="shared" si="1"/>
        <v>-0.24</v>
      </c>
      <c r="AH52" s="10">
        <v>17490</v>
      </c>
      <c r="AI52" s="12">
        <f t="shared" si="2"/>
        <v>-5410</v>
      </c>
      <c r="AJ52">
        <f>(AH52-AD52)/AD52</f>
        <v>-0.23624454148471616</v>
      </c>
      <c r="AK52">
        <f>AF52-AJ52</f>
        <v>0</v>
      </c>
    </row>
    <row r="53" spans="1:37" x14ac:dyDescent="0.35">
      <c r="A53" s="2">
        <v>52</v>
      </c>
      <c r="B53" s="3" t="s">
        <v>29</v>
      </c>
      <c r="C53" s="3" t="s">
        <v>30</v>
      </c>
      <c r="D53" s="3" t="s">
        <v>77</v>
      </c>
      <c r="E53" s="2">
        <v>640</v>
      </c>
      <c r="F53" s="2">
        <v>1</v>
      </c>
      <c r="G53" s="4">
        <v>95.05</v>
      </c>
      <c r="H53" s="3" t="s">
        <v>32</v>
      </c>
      <c r="I53" s="2">
        <v>0</v>
      </c>
      <c r="J53" s="4">
        <v>14017</v>
      </c>
      <c r="K53" s="5">
        <v>52.3</v>
      </c>
      <c r="L53" s="4">
        <v>1380</v>
      </c>
      <c r="M53" s="5">
        <v>5.0999999999999996</v>
      </c>
      <c r="N53" s="4">
        <v>3520</v>
      </c>
      <c r="O53" s="5">
        <v>13.1</v>
      </c>
      <c r="P53" s="4">
        <v>2880</v>
      </c>
      <c r="Q53" s="5">
        <v>10.7</v>
      </c>
      <c r="R53" s="4">
        <v>2048</v>
      </c>
      <c r="S53" s="5">
        <v>7.6</v>
      </c>
      <c r="T53" s="4">
        <v>1350</v>
      </c>
      <c r="U53" s="5">
        <v>5</v>
      </c>
      <c r="V53" s="4">
        <v>1100</v>
      </c>
      <c r="W53" s="5">
        <v>4.0999999999999996</v>
      </c>
      <c r="X53" s="4">
        <v>526</v>
      </c>
      <c r="Y53" s="5">
        <v>2</v>
      </c>
      <c r="Z53" s="4">
        <v>0</v>
      </c>
      <c r="AA53" s="5">
        <v>0</v>
      </c>
      <c r="AB53" s="4">
        <v>26295</v>
      </c>
      <c r="AC53" s="4">
        <v>26821</v>
      </c>
      <c r="AD53">
        <v>24500</v>
      </c>
      <c r="AE53" s="8">
        <f t="shared" si="3"/>
        <v>2321</v>
      </c>
      <c r="AF53">
        <f t="shared" si="4"/>
        <v>9.4734693877551027E-2</v>
      </c>
      <c r="AG53">
        <f t="shared" si="1"/>
        <v>0.09</v>
      </c>
      <c r="AH53" s="10">
        <v>26821</v>
      </c>
      <c r="AI53" s="12">
        <f t="shared" si="2"/>
        <v>2321</v>
      </c>
      <c r="AJ53">
        <f>(AH53-AD53)/AD53</f>
        <v>9.4734693877551027E-2</v>
      </c>
      <c r="AK53">
        <f>AF53-AJ53</f>
        <v>0</v>
      </c>
    </row>
    <row r="54" spans="1:37" x14ac:dyDescent="0.35">
      <c r="A54" s="2">
        <v>53</v>
      </c>
      <c r="B54" s="3" t="s">
        <v>29</v>
      </c>
      <c r="C54" s="3" t="s">
        <v>30</v>
      </c>
      <c r="D54" s="3" t="s">
        <v>78</v>
      </c>
      <c r="E54" s="2">
        <v>480</v>
      </c>
      <c r="F54" s="2">
        <v>1</v>
      </c>
      <c r="G54" s="4">
        <v>95.05</v>
      </c>
      <c r="H54" s="3" t="s">
        <v>32</v>
      </c>
      <c r="I54" s="2">
        <v>0</v>
      </c>
      <c r="J54" s="4">
        <v>10512</v>
      </c>
      <c r="K54" s="5">
        <v>49.8</v>
      </c>
      <c r="L54" s="4">
        <v>1380</v>
      </c>
      <c r="M54" s="5">
        <v>6.5</v>
      </c>
      <c r="N54" s="4">
        <v>2640</v>
      </c>
      <c r="O54" s="5">
        <v>12.5</v>
      </c>
      <c r="P54" s="4">
        <v>2160</v>
      </c>
      <c r="Q54" s="5">
        <v>10.199999999999999</v>
      </c>
      <c r="R54" s="4">
        <v>1536</v>
      </c>
      <c r="S54" s="5">
        <v>7.3</v>
      </c>
      <c r="T54" s="4">
        <v>1350</v>
      </c>
      <c r="U54" s="5">
        <v>6.4</v>
      </c>
      <c r="V54" s="4">
        <v>1100</v>
      </c>
      <c r="W54" s="5">
        <v>5.2</v>
      </c>
      <c r="X54" s="4">
        <v>414</v>
      </c>
      <c r="Y54" s="5">
        <v>2</v>
      </c>
      <c r="Z54" s="4">
        <v>0</v>
      </c>
      <c r="AA54" s="5">
        <v>0</v>
      </c>
      <c r="AB54" s="4">
        <v>20678</v>
      </c>
      <c r="AC54" s="4">
        <v>21092</v>
      </c>
      <c r="AD54">
        <v>7350</v>
      </c>
      <c r="AE54" s="8">
        <f t="shared" si="3"/>
        <v>13742</v>
      </c>
      <c r="AF54">
        <f t="shared" si="4"/>
        <v>1.8696598639455781</v>
      </c>
      <c r="AG54">
        <f t="shared" si="1"/>
        <v>1.87</v>
      </c>
      <c r="AH54" s="10">
        <v>21092</v>
      </c>
      <c r="AI54" s="12">
        <f t="shared" si="2"/>
        <v>13742</v>
      </c>
      <c r="AJ54">
        <f>(AH54-AD54)/AD54</f>
        <v>1.8696598639455781</v>
      </c>
      <c r="AK54">
        <f>AF54-AJ54</f>
        <v>0</v>
      </c>
    </row>
    <row r="55" spans="1:37" x14ac:dyDescent="0.35">
      <c r="A55" s="2">
        <v>54</v>
      </c>
      <c r="B55" s="3" t="s">
        <v>29</v>
      </c>
      <c r="C55" s="3" t="s">
        <v>30</v>
      </c>
      <c r="D55" s="3" t="s">
        <v>79</v>
      </c>
      <c r="E55" s="2">
        <v>430</v>
      </c>
      <c r="F55" s="2">
        <v>1</v>
      </c>
      <c r="G55" s="4">
        <v>95.05</v>
      </c>
      <c r="H55" s="3" t="s">
        <v>32</v>
      </c>
      <c r="I55" s="2">
        <v>0</v>
      </c>
      <c r="J55" s="4">
        <v>9417</v>
      </c>
      <c r="K55" s="5">
        <v>48.8</v>
      </c>
      <c r="L55" s="4">
        <v>1380</v>
      </c>
      <c r="M55" s="5">
        <v>7.1</v>
      </c>
      <c r="N55" s="4">
        <v>2365</v>
      </c>
      <c r="O55" s="5">
        <v>12.3</v>
      </c>
      <c r="P55" s="4">
        <v>1935</v>
      </c>
      <c r="Q55" s="5">
        <v>10</v>
      </c>
      <c r="R55" s="4">
        <v>1376</v>
      </c>
      <c r="S55" s="5">
        <v>7.1</v>
      </c>
      <c r="T55" s="4">
        <v>1350</v>
      </c>
      <c r="U55" s="5">
        <v>7</v>
      </c>
      <c r="V55" s="4">
        <v>1100</v>
      </c>
      <c r="W55" s="5">
        <v>5.7</v>
      </c>
      <c r="X55" s="4">
        <v>378</v>
      </c>
      <c r="Y55" s="5">
        <v>2</v>
      </c>
      <c r="Z55" s="4">
        <v>0</v>
      </c>
      <c r="AA55" s="5">
        <v>0</v>
      </c>
      <c r="AB55" s="4">
        <v>18923</v>
      </c>
      <c r="AC55" s="4">
        <v>19301</v>
      </c>
      <c r="AD55">
        <v>12450</v>
      </c>
      <c r="AE55" s="8">
        <f t="shared" si="3"/>
        <v>6851</v>
      </c>
      <c r="AF55">
        <f t="shared" si="4"/>
        <v>0.55028112449799194</v>
      </c>
      <c r="AG55">
        <f t="shared" si="1"/>
        <v>0.55000000000000004</v>
      </c>
      <c r="AH55" s="10">
        <v>23161</v>
      </c>
      <c r="AI55" s="12">
        <f t="shared" si="2"/>
        <v>10711</v>
      </c>
      <c r="AJ55">
        <f>(AH55-AD55)/AD55</f>
        <v>0.86032128514056228</v>
      </c>
      <c r="AK55">
        <f>AF55-AJ55</f>
        <v>-0.31004016064257034</v>
      </c>
    </row>
    <row r="56" spans="1:37" x14ac:dyDescent="0.35">
      <c r="A56" s="2">
        <v>55</v>
      </c>
      <c r="B56" s="3" t="s">
        <v>33</v>
      </c>
      <c r="C56" s="3" t="s">
        <v>30</v>
      </c>
      <c r="D56" s="3" t="s">
        <v>80</v>
      </c>
      <c r="E56" s="2">
        <v>250</v>
      </c>
      <c r="F56" s="2">
        <v>1</v>
      </c>
      <c r="G56" s="4">
        <v>95.05</v>
      </c>
      <c r="H56" s="3" t="s">
        <v>32</v>
      </c>
      <c r="I56" s="2">
        <v>0</v>
      </c>
      <c r="J56" s="4">
        <v>3573</v>
      </c>
      <c r="K56" s="5">
        <v>42.2</v>
      </c>
      <c r="L56" s="4">
        <v>1000</v>
      </c>
      <c r="M56" s="5">
        <v>11.8</v>
      </c>
      <c r="N56" s="4">
        <v>900</v>
      </c>
      <c r="O56" s="5">
        <v>10.6</v>
      </c>
      <c r="P56" s="4">
        <v>625</v>
      </c>
      <c r="Q56" s="5">
        <v>7.4</v>
      </c>
      <c r="R56" s="4">
        <v>575</v>
      </c>
      <c r="S56" s="5">
        <v>6.8</v>
      </c>
      <c r="T56" s="4">
        <v>863</v>
      </c>
      <c r="U56" s="5">
        <v>10.199999999999999</v>
      </c>
      <c r="V56" s="4">
        <v>760</v>
      </c>
      <c r="W56" s="5">
        <v>9</v>
      </c>
      <c r="X56" s="4">
        <v>166</v>
      </c>
      <c r="Y56" s="5">
        <v>2</v>
      </c>
      <c r="Z56" s="4">
        <v>0</v>
      </c>
      <c r="AA56" s="5">
        <v>0</v>
      </c>
      <c r="AB56" s="4">
        <v>8296</v>
      </c>
      <c r="AC56" s="4">
        <v>8462</v>
      </c>
      <c r="AD56">
        <v>11800</v>
      </c>
      <c r="AE56" s="8">
        <f t="shared" si="3"/>
        <v>-3338</v>
      </c>
      <c r="AF56">
        <f t="shared" si="4"/>
        <v>-0.28288135593220337</v>
      </c>
      <c r="AG56">
        <f t="shared" si="1"/>
        <v>-0.28000000000000003</v>
      </c>
      <c r="AH56" s="10">
        <v>8462</v>
      </c>
      <c r="AI56" s="12">
        <f t="shared" si="2"/>
        <v>-3338</v>
      </c>
      <c r="AJ56">
        <f>(AH56-AD56)/AD56</f>
        <v>-0.28288135593220337</v>
      </c>
      <c r="AK56">
        <f>AF56-AJ56</f>
        <v>0</v>
      </c>
    </row>
    <row r="57" spans="1:37" x14ac:dyDescent="0.35">
      <c r="A57" s="2">
        <v>56</v>
      </c>
      <c r="B57" s="3" t="s">
        <v>29</v>
      </c>
      <c r="C57" s="3" t="s">
        <v>30</v>
      </c>
      <c r="D57" s="3" t="s">
        <v>80</v>
      </c>
      <c r="E57" s="2">
        <v>250</v>
      </c>
      <c r="F57" s="2">
        <v>1</v>
      </c>
      <c r="G57" s="4">
        <v>95.05</v>
      </c>
      <c r="H57" s="3" t="s">
        <v>32</v>
      </c>
      <c r="I57" s="2">
        <v>0</v>
      </c>
      <c r="J57" s="4">
        <v>5475</v>
      </c>
      <c r="K57" s="5">
        <v>42.6</v>
      </c>
      <c r="L57" s="4">
        <v>1380</v>
      </c>
      <c r="M57" s="5">
        <v>10.7</v>
      </c>
      <c r="N57" s="4">
        <v>1375</v>
      </c>
      <c r="O57" s="5">
        <v>10.7</v>
      </c>
      <c r="P57" s="4">
        <v>1125</v>
      </c>
      <c r="Q57" s="5">
        <v>8.8000000000000007</v>
      </c>
      <c r="R57" s="4">
        <v>800</v>
      </c>
      <c r="S57" s="5">
        <v>6.2</v>
      </c>
      <c r="T57" s="4">
        <v>1350</v>
      </c>
      <c r="U57" s="5">
        <v>10.5</v>
      </c>
      <c r="V57" s="4">
        <v>1100</v>
      </c>
      <c r="W57" s="5">
        <v>8.6</v>
      </c>
      <c r="X57" s="4">
        <v>252</v>
      </c>
      <c r="Y57" s="5">
        <v>2</v>
      </c>
      <c r="Z57" s="4">
        <v>0</v>
      </c>
      <c r="AA57" s="5">
        <v>0</v>
      </c>
      <c r="AB57" s="4">
        <v>12605</v>
      </c>
      <c r="AC57" s="4">
        <v>12857</v>
      </c>
      <c r="AD57">
        <v>11900</v>
      </c>
      <c r="AE57" s="8">
        <f t="shared" si="3"/>
        <v>957</v>
      </c>
      <c r="AF57">
        <f t="shared" si="4"/>
        <v>8.0420168067226891E-2</v>
      </c>
      <c r="AG57">
        <f t="shared" si="1"/>
        <v>0.08</v>
      </c>
      <c r="AH57" s="10">
        <v>12857</v>
      </c>
      <c r="AI57" s="12">
        <f t="shared" si="2"/>
        <v>957</v>
      </c>
      <c r="AJ57">
        <f>(AH57-AD57)/AD57</f>
        <v>8.0420168067226891E-2</v>
      </c>
      <c r="AK57">
        <f>AF57-AJ57</f>
        <v>0</v>
      </c>
    </row>
    <row r="58" spans="1:37" x14ac:dyDescent="0.35">
      <c r="A58" s="2">
        <v>57</v>
      </c>
      <c r="B58" s="3" t="s">
        <v>81</v>
      </c>
      <c r="C58" s="3" t="s">
        <v>30</v>
      </c>
      <c r="D58" s="3" t="s">
        <v>82</v>
      </c>
      <c r="E58" s="2">
        <v>1650</v>
      </c>
      <c r="F58" s="2">
        <v>2</v>
      </c>
      <c r="G58" s="4">
        <v>95.05</v>
      </c>
      <c r="H58" s="3" t="s">
        <v>32</v>
      </c>
      <c r="I58" s="2">
        <v>0</v>
      </c>
      <c r="J58" s="4">
        <v>52104</v>
      </c>
      <c r="K58" s="5">
        <v>56.1</v>
      </c>
      <c r="L58" s="4">
        <v>3600</v>
      </c>
      <c r="M58" s="5">
        <v>3.9</v>
      </c>
      <c r="N58" s="4">
        <v>12705</v>
      </c>
      <c r="O58" s="5">
        <v>13.7</v>
      </c>
      <c r="P58" s="4">
        <v>9900</v>
      </c>
      <c r="Q58" s="5">
        <v>10.7</v>
      </c>
      <c r="R58" s="4">
        <v>7095</v>
      </c>
      <c r="S58" s="5">
        <v>7.6</v>
      </c>
      <c r="T58" s="4">
        <v>3528</v>
      </c>
      <c r="U58" s="5">
        <v>3.8</v>
      </c>
      <c r="V58" s="4">
        <v>1685</v>
      </c>
      <c r="W58" s="5">
        <v>1.8</v>
      </c>
      <c r="X58" s="4">
        <v>2265</v>
      </c>
      <c r="Y58" s="5">
        <v>2.4</v>
      </c>
      <c r="Z58" s="4">
        <v>0</v>
      </c>
      <c r="AA58" s="5">
        <v>0</v>
      </c>
      <c r="AB58" s="4">
        <v>90617</v>
      </c>
      <c r="AC58" s="4">
        <v>92882</v>
      </c>
      <c r="AD58">
        <v>90000</v>
      </c>
      <c r="AE58" s="8">
        <f t="shared" si="3"/>
        <v>2882</v>
      </c>
      <c r="AF58">
        <f t="shared" si="4"/>
        <v>3.2022222222222223E-2</v>
      </c>
      <c r="AG58">
        <f t="shared" si="1"/>
        <v>0.03</v>
      </c>
      <c r="AH58" s="10">
        <v>88238</v>
      </c>
      <c r="AI58" s="12">
        <f t="shared" si="2"/>
        <v>-1762</v>
      </c>
      <c r="AJ58">
        <f>(AH58-AD58)/AD58</f>
        <v>-1.9577777777777777E-2</v>
      </c>
      <c r="AK58">
        <f>AF58-AJ58</f>
        <v>5.16E-2</v>
      </c>
    </row>
    <row r="59" spans="1:37" x14ac:dyDescent="0.35">
      <c r="A59" s="2">
        <v>58</v>
      </c>
      <c r="B59" s="3" t="s">
        <v>83</v>
      </c>
      <c r="C59" s="3" t="s">
        <v>30</v>
      </c>
      <c r="D59" s="3" t="s">
        <v>84</v>
      </c>
      <c r="E59" s="2">
        <v>1700</v>
      </c>
      <c r="F59" s="2">
        <v>2</v>
      </c>
      <c r="G59" s="4">
        <v>95.05</v>
      </c>
      <c r="H59" s="3" t="s">
        <v>32</v>
      </c>
      <c r="I59" s="2">
        <v>0</v>
      </c>
      <c r="J59" s="4">
        <v>51297</v>
      </c>
      <c r="K59" s="5">
        <v>56</v>
      </c>
      <c r="L59" s="4">
        <v>3530</v>
      </c>
      <c r="M59" s="5">
        <v>3.9</v>
      </c>
      <c r="N59" s="4">
        <v>12750</v>
      </c>
      <c r="O59" s="5">
        <v>13.9</v>
      </c>
      <c r="P59" s="4">
        <v>10200</v>
      </c>
      <c r="Q59" s="5">
        <v>11.1</v>
      </c>
      <c r="R59" s="4">
        <v>7140</v>
      </c>
      <c r="S59" s="5">
        <v>7.8</v>
      </c>
      <c r="T59" s="4">
        <v>2880</v>
      </c>
      <c r="U59" s="5">
        <v>3.1</v>
      </c>
      <c r="V59" s="4">
        <v>1600</v>
      </c>
      <c r="W59" s="5">
        <v>1.7</v>
      </c>
      <c r="X59" s="4">
        <v>2235</v>
      </c>
      <c r="Y59" s="5">
        <v>2.4</v>
      </c>
      <c r="Z59" s="4">
        <v>0</v>
      </c>
      <c r="AA59" s="5">
        <v>0</v>
      </c>
      <c r="AB59" s="4">
        <v>89397</v>
      </c>
      <c r="AC59" s="4">
        <v>91632</v>
      </c>
      <c r="AD59">
        <v>96900</v>
      </c>
      <c r="AE59" s="8">
        <f t="shared" si="3"/>
        <v>-5268</v>
      </c>
      <c r="AF59">
        <f t="shared" si="4"/>
        <v>-5.4365325077399378E-2</v>
      </c>
      <c r="AG59">
        <f t="shared" si="1"/>
        <v>-0.05</v>
      </c>
      <c r="AH59" s="10">
        <v>91632</v>
      </c>
      <c r="AI59" s="12">
        <f t="shared" si="2"/>
        <v>-5268</v>
      </c>
      <c r="AJ59">
        <f>(AH59-AD59)/AD59</f>
        <v>-5.4365325077399378E-2</v>
      </c>
      <c r="AK59">
        <f>AF59-AJ59</f>
        <v>0</v>
      </c>
    </row>
    <row r="60" spans="1:37" x14ac:dyDescent="0.35">
      <c r="A60" s="2">
        <v>59</v>
      </c>
      <c r="B60" s="3" t="s">
        <v>29</v>
      </c>
      <c r="C60" s="3" t="s">
        <v>30</v>
      </c>
      <c r="D60" s="3" t="s">
        <v>85</v>
      </c>
      <c r="E60" s="2">
        <v>780</v>
      </c>
      <c r="F60" s="2">
        <v>1</v>
      </c>
      <c r="G60" s="4">
        <v>95.05</v>
      </c>
      <c r="H60" s="3" t="s">
        <v>32</v>
      </c>
      <c r="I60" s="2">
        <v>0</v>
      </c>
      <c r="J60" s="4">
        <v>17083</v>
      </c>
      <c r="K60" s="5">
        <v>53.7</v>
      </c>
      <c r="L60" s="4">
        <v>1380</v>
      </c>
      <c r="M60" s="5">
        <v>4.3</v>
      </c>
      <c r="N60" s="4">
        <v>4290</v>
      </c>
      <c r="O60" s="5">
        <v>13.5</v>
      </c>
      <c r="P60" s="4">
        <v>3510</v>
      </c>
      <c r="Q60" s="5">
        <v>11</v>
      </c>
      <c r="R60" s="4">
        <v>2496</v>
      </c>
      <c r="S60" s="5">
        <v>7.8</v>
      </c>
      <c r="T60" s="4">
        <v>1350</v>
      </c>
      <c r="U60" s="5">
        <v>4.2</v>
      </c>
      <c r="V60" s="4">
        <v>1100</v>
      </c>
      <c r="W60" s="5">
        <v>3.5</v>
      </c>
      <c r="X60" s="4">
        <v>624</v>
      </c>
      <c r="Y60" s="5">
        <v>2</v>
      </c>
      <c r="Z60" s="4">
        <v>0</v>
      </c>
      <c r="AA60" s="5">
        <v>0</v>
      </c>
      <c r="AB60" s="4">
        <v>31209</v>
      </c>
      <c r="AC60" s="4">
        <v>31833</v>
      </c>
      <c r="AD60">
        <v>36720</v>
      </c>
      <c r="AE60" s="8">
        <f t="shared" si="3"/>
        <v>-4887</v>
      </c>
      <c r="AF60">
        <f t="shared" si="4"/>
        <v>-0.13308823529411765</v>
      </c>
      <c r="AG60">
        <f t="shared" si="1"/>
        <v>-0.13</v>
      </c>
      <c r="AH60" s="10">
        <v>38200</v>
      </c>
      <c r="AI60" s="12">
        <f t="shared" si="2"/>
        <v>1480</v>
      </c>
      <c r="AJ60">
        <f>(AH60-AD60)/AD60</f>
        <v>4.0305010893246188E-2</v>
      </c>
      <c r="AK60">
        <f>AF60-AJ60</f>
        <v>-0.17339324618736385</v>
      </c>
    </row>
    <row r="61" spans="1:37" x14ac:dyDescent="0.35">
      <c r="A61" s="2">
        <v>60</v>
      </c>
      <c r="B61" s="3" t="s">
        <v>29</v>
      </c>
      <c r="C61" s="3" t="s">
        <v>30</v>
      </c>
      <c r="D61" s="3" t="s">
        <v>86</v>
      </c>
      <c r="E61" s="2">
        <v>840</v>
      </c>
      <c r="F61" s="2">
        <v>1</v>
      </c>
      <c r="G61" s="4">
        <v>95.05</v>
      </c>
      <c r="H61" s="3" t="s">
        <v>32</v>
      </c>
      <c r="I61" s="2">
        <v>0</v>
      </c>
      <c r="J61" s="4">
        <v>18397</v>
      </c>
      <c r="K61" s="5">
        <v>54.1</v>
      </c>
      <c r="L61" s="4">
        <v>1380</v>
      </c>
      <c r="M61" s="5">
        <v>4.0999999999999996</v>
      </c>
      <c r="N61" s="4">
        <v>4620</v>
      </c>
      <c r="O61" s="5">
        <v>13.6</v>
      </c>
      <c r="P61" s="4">
        <v>3780</v>
      </c>
      <c r="Q61" s="5">
        <v>11.1</v>
      </c>
      <c r="R61" s="4">
        <v>2688</v>
      </c>
      <c r="S61" s="5">
        <v>7.9</v>
      </c>
      <c r="T61" s="4">
        <v>1350</v>
      </c>
      <c r="U61" s="5">
        <v>4</v>
      </c>
      <c r="V61" s="4">
        <v>1100</v>
      </c>
      <c r="W61" s="5">
        <v>3.2</v>
      </c>
      <c r="X61" s="4">
        <v>666</v>
      </c>
      <c r="Y61" s="5">
        <v>2</v>
      </c>
      <c r="Z61" s="4">
        <v>0</v>
      </c>
      <c r="AA61" s="5">
        <v>0</v>
      </c>
      <c r="AB61" s="4">
        <v>33315</v>
      </c>
      <c r="AC61" s="4">
        <v>33981</v>
      </c>
      <c r="AD61">
        <v>42800</v>
      </c>
      <c r="AE61" s="8">
        <f t="shared" si="3"/>
        <v>-8819</v>
      </c>
      <c r="AF61">
        <f t="shared" si="4"/>
        <v>-0.20605140186915888</v>
      </c>
      <c r="AG61">
        <f t="shared" si="1"/>
        <v>-0.21</v>
      </c>
      <c r="AH61" s="10">
        <v>40777</v>
      </c>
      <c r="AI61" s="12">
        <f t="shared" si="2"/>
        <v>-2023</v>
      </c>
      <c r="AJ61">
        <f>(AH61-AD61)/AD61</f>
        <v>-4.7266355140186914E-2</v>
      </c>
      <c r="AK61">
        <f>AF61-AJ61</f>
        <v>-0.15878504672897198</v>
      </c>
    </row>
    <row r="62" spans="1:37" x14ac:dyDescent="0.35">
      <c r="A62" s="2">
        <v>61</v>
      </c>
      <c r="B62" s="3" t="s">
        <v>33</v>
      </c>
      <c r="C62" s="3" t="s">
        <v>30</v>
      </c>
      <c r="D62" s="3" t="s">
        <v>87</v>
      </c>
      <c r="E62" s="2">
        <v>830</v>
      </c>
      <c r="F62" s="2">
        <v>1</v>
      </c>
      <c r="G62" s="4">
        <v>95.05</v>
      </c>
      <c r="H62" s="3" t="s">
        <v>32</v>
      </c>
      <c r="I62" s="2">
        <v>0</v>
      </c>
      <c r="J62" s="4">
        <v>11863</v>
      </c>
      <c r="K62" s="5">
        <v>54.2</v>
      </c>
      <c r="L62" s="4">
        <v>1000</v>
      </c>
      <c r="M62" s="5">
        <v>4.5999999999999996</v>
      </c>
      <c r="N62" s="4">
        <v>2988</v>
      </c>
      <c r="O62" s="5">
        <v>13.7</v>
      </c>
      <c r="P62" s="4">
        <v>2075</v>
      </c>
      <c r="Q62" s="5">
        <v>9.5</v>
      </c>
      <c r="R62" s="4">
        <v>1909</v>
      </c>
      <c r="S62" s="5">
        <v>8.6999999999999993</v>
      </c>
      <c r="T62" s="4">
        <v>863</v>
      </c>
      <c r="U62" s="5">
        <v>3.9</v>
      </c>
      <c r="V62" s="4">
        <v>760</v>
      </c>
      <c r="W62" s="5">
        <v>3.5</v>
      </c>
      <c r="X62" s="4">
        <v>429</v>
      </c>
      <c r="Y62" s="5">
        <v>2</v>
      </c>
      <c r="Z62" s="4">
        <v>0</v>
      </c>
      <c r="AA62" s="5">
        <v>0</v>
      </c>
      <c r="AB62" s="4">
        <v>21458</v>
      </c>
      <c r="AC62" s="4">
        <v>21887</v>
      </c>
      <c r="AD62">
        <v>35000</v>
      </c>
      <c r="AE62" s="8">
        <f t="shared" si="3"/>
        <v>-13113</v>
      </c>
      <c r="AF62">
        <f t="shared" si="4"/>
        <v>-0.37465714285714286</v>
      </c>
      <c r="AG62">
        <f t="shared" si="1"/>
        <v>-0.37</v>
      </c>
      <c r="AH62" s="10">
        <v>21887</v>
      </c>
      <c r="AI62" s="12">
        <f t="shared" si="2"/>
        <v>-13113</v>
      </c>
      <c r="AJ62">
        <f>(AH62-AD62)/AD62</f>
        <v>-0.37465714285714286</v>
      </c>
      <c r="AK62">
        <f>AF62-AJ62</f>
        <v>0</v>
      </c>
    </row>
    <row r="63" spans="1:37" x14ac:dyDescent="0.35">
      <c r="A63" s="2">
        <v>62</v>
      </c>
      <c r="B63" s="3" t="s">
        <v>29</v>
      </c>
      <c r="C63" s="3" t="s">
        <v>30</v>
      </c>
      <c r="D63" s="3" t="s">
        <v>87</v>
      </c>
      <c r="E63" s="2">
        <v>830</v>
      </c>
      <c r="F63" s="2">
        <v>1</v>
      </c>
      <c r="G63" s="4">
        <v>95.05</v>
      </c>
      <c r="H63" s="3" t="s">
        <v>32</v>
      </c>
      <c r="I63" s="2">
        <v>0</v>
      </c>
      <c r="J63" s="4">
        <v>18178</v>
      </c>
      <c r="K63" s="5">
        <v>54.1</v>
      </c>
      <c r="L63" s="4">
        <v>1380</v>
      </c>
      <c r="M63" s="5">
        <v>4.0999999999999996</v>
      </c>
      <c r="N63" s="4">
        <v>4565</v>
      </c>
      <c r="O63" s="5">
        <v>13.6</v>
      </c>
      <c r="P63" s="4">
        <v>3735</v>
      </c>
      <c r="Q63" s="5">
        <v>11.1</v>
      </c>
      <c r="R63" s="4">
        <v>2656</v>
      </c>
      <c r="S63" s="5">
        <v>7.9</v>
      </c>
      <c r="T63" s="4">
        <v>1350</v>
      </c>
      <c r="U63" s="5">
        <v>4</v>
      </c>
      <c r="V63" s="4">
        <v>1100</v>
      </c>
      <c r="W63" s="5">
        <v>3.3</v>
      </c>
      <c r="X63" s="4">
        <v>659</v>
      </c>
      <c r="Y63" s="5">
        <v>2</v>
      </c>
      <c r="Z63" s="4">
        <v>0</v>
      </c>
      <c r="AA63" s="5">
        <v>0</v>
      </c>
      <c r="AB63" s="4">
        <v>32964</v>
      </c>
      <c r="AC63" s="4">
        <v>33623</v>
      </c>
      <c r="AD63">
        <v>35800</v>
      </c>
      <c r="AE63" s="8">
        <f t="shared" si="3"/>
        <v>-2177</v>
      </c>
      <c r="AF63">
        <f t="shared" si="4"/>
        <v>-6.0810055865921787E-2</v>
      </c>
      <c r="AG63">
        <f t="shared" si="1"/>
        <v>-0.06</v>
      </c>
      <c r="AH63" s="10">
        <v>33623</v>
      </c>
      <c r="AI63" s="12">
        <f t="shared" si="2"/>
        <v>-2177</v>
      </c>
      <c r="AJ63">
        <f>(AH63-AD63)/AD63</f>
        <v>-6.0810055865921787E-2</v>
      </c>
      <c r="AK63">
        <f>AF63-AJ63</f>
        <v>0</v>
      </c>
    </row>
    <row r="64" spans="1:37" x14ac:dyDescent="0.35">
      <c r="A64" s="2">
        <v>63</v>
      </c>
      <c r="B64" s="3" t="s">
        <v>88</v>
      </c>
      <c r="C64" s="3" t="s">
        <v>30</v>
      </c>
      <c r="D64" s="3" t="s">
        <v>89</v>
      </c>
      <c r="E64" s="2">
        <v>810</v>
      </c>
      <c r="F64" s="2">
        <v>1</v>
      </c>
      <c r="G64" s="4">
        <v>95.05</v>
      </c>
      <c r="H64" s="3" t="s">
        <v>32</v>
      </c>
      <c r="I64" s="2">
        <v>0</v>
      </c>
      <c r="J64" s="4">
        <v>19296</v>
      </c>
      <c r="K64" s="5">
        <v>53.8</v>
      </c>
      <c r="L64" s="4">
        <v>1420</v>
      </c>
      <c r="M64" s="5">
        <v>4</v>
      </c>
      <c r="N64" s="4">
        <v>4698</v>
      </c>
      <c r="O64" s="5">
        <v>13.1</v>
      </c>
      <c r="P64" s="4">
        <v>3645</v>
      </c>
      <c r="Q64" s="5">
        <v>10.199999999999999</v>
      </c>
      <c r="R64" s="4">
        <v>2754</v>
      </c>
      <c r="S64" s="5">
        <v>7.7</v>
      </c>
      <c r="T64" s="4">
        <v>2175</v>
      </c>
      <c r="U64" s="5">
        <v>6.1</v>
      </c>
      <c r="V64" s="4">
        <v>1150</v>
      </c>
      <c r="W64" s="5">
        <v>3.2</v>
      </c>
      <c r="X64" s="4">
        <v>703</v>
      </c>
      <c r="Y64" s="5">
        <v>2</v>
      </c>
      <c r="Z64" s="4">
        <v>0</v>
      </c>
      <c r="AA64" s="5">
        <v>0</v>
      </c>
      <c r="AB64" s="4">
        <v>35138</v>
      </c>
      <c r="AC64" s="4">
        <v>35841</v>
      </c>
      <c r="AD64">
        <v>54000</v>
      </c>
      <c r="AE64" s="8">
        <f t="shared" si="3"/>
        <v>-18159</v>
      </c>
      <c r="AF64">
        <f t="shared" si="4"/>
        <v>-0.33627777777777779</v>
      </c>
      <c r="AG64">
        <f t="shared" si="1"/>
        <v>-0.34</v>
      </c>
      <c r="AH64" s="10">
        <v>35841</v>
      </c>
      <c r="AI64" s="12">
        <f t="shared" si="2"/>
        <v>-18159</v>
      </c>
      <c r="AJ64">
        <f>(AH64-AD64)/AD64</f>
        <v>-0.33627777777777779</v>
      </c>
      <c r="AK64">
        <f>AF64-AJ64</f>
        <v>0</v>
      </c>
    </row>
    <row r="65" spans="1:37" x14ac:dyDescent="0.35">
      <c r="A65" s="2">
        <v>64</v>
      </c>
      <c r="B65" s="3" t="s">
        <v>29</v>
      </c>
      <c r="C65" s="3" t="s">
        <v>30</v>
      </c>
      <c r="D65" s="3" t="s">
        <v>90</v>
      </c>
      <c r="E65" s="2">
        <v>810</v>
      </c>
      <c r="F65" s="2">
        <v>1</v>
      </c>
      <c r="G65" s="4">
        <v>95.05</v>
      </c>
      <c r="H65" s="3" t="s">
        <v>32</v>
      </c>
      <c r="I65" s="2">
        <v>0</v>
      </c>
      <c r="J65" s="4">
        <v>17740</v>
      </c>
      <c r="K65" s="5">
        <v>53.9</v>
      </c>
      <c r="L65" s="4">
        <v>1380</v>
      </c>
      <c r="M65" s="5">
        <v>4.2</v>
      </c>
      <c r="N65" s="4">
        <v>4455</v>
      </c>
      <c r="O65" s="5">
        <v>13.5</v>
      </c>
      <c r="P65" s="4">
        <v>3645</v>
      </c>
      <c r="Q65" s="5">
        <v>11.1</v>
      </c>
      <c r="R65" s="4">
        <v>2592</v>
      </c>
      <c r="S65" s="5">
        <v>7.9</v>
      </c>
      <c r="T65" s="4">
        <v>1350</v>
      </c>
      <c r="U65" s="5">
        <v>4.0999999999999996</v>
      </c>
      <c r="V65" s="4">
        <v>1100</v>
      </c>
      <c r="W65" s="5">
        <v>3.3</v>
      </c>
      <c r="X65" s="4">
        <v>645</v>
      </c>
      <c r="Y65" s="5">
        <v>2</v>
      </c>
      <c r="Z65" s="4">
        <v>0</v>
      </c>
      <c r="AA65" s="5">
        <v>0</v>
      </c>
      <c r="AB65" s="4">
        <v>32262</v>
      </c>
      <c r="AC65" s="4">
        <v>32907</v>
      </c>
      <c r="AD65">
        <v>46000</v>
      </c>
      <c r="AE65" s="8">
        <f t="shared" si="3"/>
        <v>-13093</v>
      </c>
      <c r="AF65">
        <f t="shared" si="4"/>
        <v>-0.28463043478260869</v>
      </c>
      <c r="AG65">
        <f t="shared" si="1"/>
        <v>-0.28000000000000003</v>
      </c>
      <c r="AH65" s="10">
        <v>32907</v>
      </c>
      <c r="AI65" s="12">
        <f t="shared" si="2"/>
        <v>-13093</v>
      </c>
      <c r="AJ65">
        <f>(AH65-AD65)/AD65</f>
        <v>-0.28463043478260869</v>
      </c>
      <c r="AK65">
        <f>AF65-AJ65</f>
        <v>0</v>
      </c>
    </row>
    <row r="66" spans="1:37" x14ac:dyDescent="0.35">
      <c r="A66" s="2">
        <v>65</v>
      </c>
      <c r="B66" s="3" t="s">
        <v>33</v>
      </c>
      <c r="C66" s="3" t="s">
        <v>30</v>
      </c>
      <c r="D66" s="3" t="s">
        <v>91</v>
      </c>
      <c r="E66" s="2">
        <v>820</v>
      </c>
      <c r="F66" s="2">
        <v>1</v>
      </c>
      <c r="G66" s="4">
        <v>95.05</v>
      </c>
      <c r="H66" s="3" t="s">
        <v>32</v>
      </c>
      <c r="I66" s="2">
        <v>0</v>
      </c>
      <c r="J66" s="4">
        <v>11720</v>
      </c>
      <c r="K66" s="5">
        <v>54.1</v>
      </c>
      <c r="L66" s="4">
        <v>1000</v>
      </c>
      <c r="M66" s="5">
        <v>4.5999999999999996</v>
      </c>
      <c r="N66" s="4">
        <v>2952</v>
      </c>
      <c r="O66" s="5">
        <v>13.6</v>
      </c>
      <c r="P66" s="4">
        <v>2050</v>
      </c>
      <c r="Q66" s="5">
        <v>9.5</v>
      </c>
      <c r="R66" s="4">
        <v>1886</v>
      </c>
      <c r="S66" s="5">
        <v>8.6999999999999993</v>
      </c>
      <c r="T66" s="4">
        <v>863</v>
      </c>
      <c r="U66" s="5">
        <v>4</v>
      </c>
      <c r="V66" s="4">
        <v>760</v>
      </c>
      <c r="W66" s="5">
        <v>3.5</v>
      </c>
      <c r="X66" s="4">
        <v>425</v>
      </c>
      <c r="Y66" s="5">
        <v>2</v>
      </c>
      <c r="Z66" s="4">
        <v>0</v>
      </c>
      <c r="AA66" s="5">
        <v>0</v>
      </c>
      <c r="AB66" s="4">
        <v>21231</v>
      </c>
      <c r="AC66" s="4">
        <v>21656</v>
      </c>
      <c r="AD66">
        <v>35000</v>
      </c>
      <c r="AE66" s="8">
        <f t="shared" si="3"/>
        <v>-13344</v>
      </c>
      <c r="AF66">
        <f t="shared" ref="AF66:AF97" si="5">AE66/AD66</f>
        <v>-0.38125714285714285</v>
      </c>
      <c r="AG66">
        <f t="shared" si="1"/>
        <v>-0.38</v>
      </c>
      <c r="AH66" s="10">
        <v>25987</v>
      </c>
      <c r="AI66" s="12">
        <f t="shared" si="2"/>
        <v>-9013</v>
      </c>
      <c r="AJ66">
        <f>(AH66-AD66)/AD66</f>
        <v>-0.2575142857142857</v>
      </c>
      <c r="AK66">
        <f>AF66-AJ66</f>
        <v>-0.12374285714285715</v>
      </c>
    </row>
    <row r="67" spans="1:37" x14ac:dyDescent="0.35">
      <c r="A67" s="2">
        <v>66</v>
      </c>
      <c r="B67" s="3" t="s">
        <v>29</v>
      </c>
      <c r="C67" s="3" t="s">
        <v>30</v>
      </c>
      <c r="D67" s="3" t="s">
        <v>91</v>
      </c>
      <c r="E67" s="2">
        <v>820</v>
      </c>
      <c r="F67" s="2">
        <v>1</v>
      </c>
      <c r="G67" s="4">
        <v>95.05</v>
      </c>
      <c r="H67" s="3" t="s">
        <v>32</v>
      </c>
      <c r="I67" s="2">
        <v>0</v>
      </c>
      <c r="J67" s="4">
        <v>17959</v>
      </c>
      <c r="K67" s="5">
        <v>54</v>
      </c>
      <c r="L67" s="4">
        <v>1380</v>
      </c>
      <c r="M67" s="5">
        <v>4.0999999999999996</v>
      </c>
      <c r="N67" s="4">
        <v>4510</v>
      </c>
      <c r="O67" s="5">
        <v>13.6</v>
      </c>
      <c r="P67" s="4">
        <v>3690</v>
      </c>
      <c r="Q67" s="5">
        <v>11.1</v>
      </c>
      <c r="R67" s="4">
        <v>2624</v>
      </c>
      <c r="S67" s="5">
        <v>7.9</v>
      </c>
      <c r="T67" s="4">
        <v>1350</v>
      </c>
      <c r="U67" s="5">
        <v>4.0999999999999996</v>
      </c>
      <c r="V67" s="4">
        <v>1100</v>
      </c>
      <c r="W67" s="5">
        <v>3.3</v>
      </c>
      <c r="X67" s="4">
        <v>652</v>
      </c>
      <c r="Y67" s="5">
        <v>2</v>
      </c>
      <c r="Z67" s="4">
        <v>0</v>
      </c>
      <c r="AA67" s="5">
        <v>0</v>
      </c>
      <c r="AB67" s="4">
        <v>32613</v>
      </c>
      <c r="AC67" s="4">
        <v>33265</v>
      </c>
      <c r="AD67">
        <v>35800</v>
      </c>
      <c r="AE67" s="8">
        <f t="shared" ref="AE67:AE130" si="6">AC67-AD67</f>
        <v>-2535</v>
      </c>
      <c r="AF67">
        <f t="shared" si="5"/>
        <v>-7.0810055865921789E-2</v>
      </c>
      <c r="AG67">
        <f t="shared" ref="AG67:AG130" si="7">ROUND(AF67,2)</f>
        <v>-7.0000000000000007E-2</v>
      </c>
      <c r="AH67" s="10">
        <v>39918</v>
      </c>
      <c r="AI67" s="12">
        <f t="shared" ref="AI67:AI130" si="8">AH67-AD67</f>
        <v>4118</v>
      </c>
      <c r="AJ67">
        <f>(AH67-AD67)/AD67</f>
        <v>0.11502793296089385</v>
      </c>
      <c r="AK67">
        <f>AF67-AJ67</f>
        <v>-0.18583798882681563</v>
      </c>
    </row>
    <row r="68" spans="1:37" x14ac:dyDescent="0.35">
      <c r="A68" s="2">
        <v>67</v>
      </c>
      <c r="B68" s="3" t="s">
        <v>29</v>
      </c>
      <c r="C68" s="3" t="s">
        <v>30</v>
      </c>
      <c r="D68" s="3" t="s">
        <v>31</v>
      </c>
      <c r="E68" s="2">
        <v>390</v>
      </c>
      <c r="F68" s="2">
        <v>1</v>
      </c>
      <c r="G68" s="4">
        <v>95.05</v>
      </c>
      <c r="H68" s="3" t="s">
        <v>32</v>
      </c>
      <c r="I68" s="2">
        <v>0</v>
      </c>
      <c r="J68" s="4">
        <v>8541</v>
      </c>
      <c r="K68" s="5">
        <v>47.8</v>
      </c>
      <c r="L68" s="4">
        <v>1380</v>
      </c>
      <c r="M68" s="5">
        <v>7.7</v>
      </c>
      <c r="N68" s="4">
        <v>2145</v>
      </c>
      <c r="O68" s="5">
        <v>12</v>
      </c>
      <c r="P68" s="4">
        <v>1755</v>
      </c>
      <c r="Q68" s="5">
        <v>9.8000000000000007</v>
      </c>
      <c r="R68" s="4">
        <v>1248</v>
      </c>
      <c r="S68" s="5">
        <v>7</v>
      </c>
      <c r="T68" s="4">
        <v>1350</v>
      </c>
      <c r="U68" s="5">
        <v>7.6</v>
      </c>
      <c r="V68" s="4">
        <v>1100</v>
      </c>
      <c r="W68" s="5">
        <v>6.2</v>
      </c>
      <c r="X68" s="4">
        <v>350</v>
      </c>
      <c r="Y68" s="5">
        <v>2</v>
      </c>
      <c r="Z68" s="4">
        <v>0</v>
      </c>
      <c r="AA68" s="5">
        <v>0</v>
      </c>
      <c r="AB68" s="4">
        <v>17519</v>
      </c>
      <c r="AC68" s="4">
        <v>17869</v>
      </c>
      <c r="AD68">
        <v>15900</v>
      </c>
      <c r="AE68" s="8">
        <f t="shared" si="6"/>
        <v>1969</v>
      </c>
      <c r="AF68">
        <f t="shared" si="5"/>
        <v>0.12383647798742138</v>
      </c>
      <c r="AG68">
        <f t="shared" si="7"/>
        <v>0.12</v>
      </c>
      <c r="AH68" s="10">
        <v>16082</v>
      </c>
      <c r="AI68" s="12">
        <f t="shared" si="8"/>
        <v>182</v>
      </c>
      <c r="AJ68">
        <f>(AH68-AD68)/AD68</f>
        <v>1.1446540880503144E-2</v>
      </c>
      <c r="AK68">
        <f>AF68-AJ68</f>
        <v>0.11238993710691823</v>
      </c>
    </row>
    <row r="69" spans="1:37" x14ac:dyDescent="0.35">
      <c r="A69" s="2">
        <v>68</v>
      </c>
      <c r="B69" s="3" t="s">
        <v>92</v>
      </c>
      <c r="C69" s="3" t="s">
        <v>30</v>
      </c>
      <c r="D69" s="3" t="s">
        <v>93</v>
      </c>
      <c r="E69" s="2">
        <v>1350</v>
      </c>
      <c r="F69" s="2">
        <v>2</v>
      </c>
      <c r="G69" s="4">
        <v>95.05</v>
      </c>
      <c r="H69" s="3" t="s">
        <v>32</v>
      </c>
      <c r="I69" s="2">
        <v>0</v>
      </c>
      <c r="J69" s="4">
        <v>63211</v>
      </c>
      <c r="K69" s="5">
        <v>53.3</v>
      </c>
      <c r="L69" s="4">
        <v>5630</v>
      </c>
      <c r="M69" s="5">
        <v>4.7</v>
      </c>
      <c r="N69" s="4">
        <v>15525</v>
      </c>
      <c r="O69" s="5">
        <v>13.1</v>
      </c>
      <c r="P69" s="4">
        <v>12150</v>
      </c>
      <c r="Q69" s="5">
        <v>10.199999999999999</v>
      </c>
      <c r="R69" s="4">
        <v>9720</v>
      </c>
      <c r="S69" s="5">
        <v>8.1999999999999993</v>
      </c>
      <c r="T69" s="4">
        <v>6150</v>
      </c>
      <c r="U69" s="5">
        <v>5.2</v>
      </c>
      <c r="V69" s="4">
        <v>2800</v>
      </c>
      <c r="W69" s="5">
        <v>2.4</v>
      </c>
      <c r="X69" s="4">
        <v>3456</v>
      </c>
      <c r="Y69" s="5">
        <v>2.9</v>
      </c>
      <c r="Z69" s="4">
        <v>0</v>
      </c>
      <c r="AA69" s="5">
        <v>0</v>
      </c>
      <c r="AB69" s="4">
        <v>115186</v>
      </c>
      <c r="AC69" s="4">
        <v>118642</v>
      </c>
      <c r="AD69">
        <v>80000</v>
      </c>
      <c r="AE69" s="8">
        <f t="shared" si="6"/>
        <v>38642</v>
      </c>
      <c r="AF69">
        <f t="shared" si="5"/>
        <v>0.48302499999999998</v>
      </c>
      <c r="AG69">
        <f t="shared" si="7"/>
        <v>0.48</v>
      </c>
      <c r="AH69" s="10">
        <v>118642</v>
      </c>
      <c r="AI69" s="12">
        <f t="shared" si="8"/>
        <v>38642</v>
      </c>
      <c r="AJ69">
        <f>(AH69-AD69)/AD69</f>
        <v>0.48302499999999998</v>
      </c>
      <c r="AK69">
        <f>AF69-AJ69</f>
        <v>0</v>
      </c>
    </row>
    <row r="70" spans="1:37" x14ac:dyDescent="0.35">
      <c r="A70" s="2">
        <v>69</v>
      </c>
      <c r="B70" s="3" t="s">
        <v>92</v>
      </c>
      <c r="C70" s="3" t="s">
        <v>30</v>
      </c>
      <c r="D70" s="3" t="s">
        <v>94</v>
      </c>
      <c r="E70" s="2">
        <v>1270</v>
      </c>
      <c r="F70" s="2">
        <v>2</v>
      </c>
      <c r="G70" s="4">
        <v>95.05</v>
      </c>
      <c r="H70" s="3" t="s">
        <v>32</v>
      </c>
      <c r="I70" s="2">
        <v>0</v>
      </c>
      <c r="J70" s="4">
        <v>59465</v>
      </c>
      <c r="K70" s="5">
        <v>52.9</v>
      </c>
      <c r="L70" s="4">
        <v>5630</v>
      </c>
      <c r="M70" s="5">
        <v>5</v>
      </c>
      <c r="N70" s="4">
        <v>14605</v>
      </c>
      <c r="O70" s="5">
        <v>13</v>
      </c>
      <c r="P70" s="4">
        <v>11430</v>
      </c>
      <c r="Q70" s="5">
        <v>10.199999999999999</v>
      </c>
      <c r="R70" s="4">
        <v>9144</v>
      </c>
      <c r="S70" s="5">
        <v>8.1</v>
      </c>
      <c r="T70" s="4">
        <v>6150</v>
      </c>
      <c r="U70" s="5">
        <v>5.5</v>
      </c>
      <c r="V70" s="4">
        <v>2800</v>
      </c>
      <c r="W70" s="5">
        <v>2.5</v>
      </c>
      <c r="X70" s="4">
        <v>3277</v>
      </c>
      <c r="Y70" s="5">
        <v>2.9</v>
      </c>
      <c r="Z70" s="4">
        <v>0</v>
      </c>
      <c r="AA70" s="5">
        <v>0</v>
      </c>
      <c r="AB70" s="4">
        <v>109224</v>
      </c>
      <c r="AC70" s="4">
        <v>112501</v>
      </c>
      <c r="AD70">
        <v>75000</v>
      </c>
      <c r="AE70" s="8">
        <f t="shared" si="6"/>
        <v>37501</v>
      </c>
      <c r="AF70">
        <f t="shared" si="5"/>
        <v>0.50001333333333331</v>
      </c>
      <c r="AG70">
        <f t="shared" si="7"/>
        <v>0.5</v>
      </c>
      <c r="AH70" s="10">
        <v>106876</v>
      </c>
      <c r="AI70" s="12">
        <f t="shared" si="8"/>
        <v>31876</v>
      </c>
      <c r="AJ70">
        <f>(AH70-AD70)/AD70</f>
        <v>0.42501333333333335</v>
      </c>
      <c r="AK70">
        <f>AF70-AJ70</f>
        <v>7.4999999999999956E-2</v>
      </c>
    </row>
    <row r="71" spans="1:37" x14ac:dyDescent="0.35">
      <c r="A71" s="2">
        <v>70</v>
      </c>
      <c r="B71" s="3" t="s">
        <v>95</v>
      </c>
      <c r="C71" s="3" t="s">
        <v>30</v>
      </c>
      <c r="D71" s="3" t="s">
        <v>96</v>
      </c>
      <c r="E71" s="2">
        <v>1350</v>
      </c>
      <c r="F71" s="2">
        <v>2</v>
      </c>
      <c r="G71" s="4">
        <v>95.05</v>
      </c>
      <c r="H71" s="3" t="s">
        <v>32</v>
      </c>
      <c r="I71" s="2">
        <v>0</v>
      </c>
      <c r="J71" s="4">
        <v>43060</v>
      </c>
      <c r="K71" s="5">
        <v>54.2</v>
      </c>
      <c r="L71" s="4">
        <v>3665</v>
      </c>
      <c r="M71" s="5">
        <v>4.5999999999999996</v>
      </c>
      <c r="N71" s="4">
        <v>10665</v>
      </c>
      <c r="O71" s="5">
        <v>13.4</v>
      </c>
      <c r="P71" s="4">
        <v>8100</v>
      </c>
      <c r="Q71" s="5">
        <v>10.199999999999999</v>
      </c>
      <c r="R71" s="4">
        <v>6008</v>
      </c>
      <c r="S71" s="5">
        <v>7.6</v>
      </c>
      <c r="T71" s="4">
        <v>4248</v>
      </c>
      <c r="U71" s="5">
        <v>5.3</v>
      </c>
      <c r="V71" s="4">
        <v>1770</v>
      </c>
      <c r="W71" s="5">
        <v>2.2000000000000002</v>
      </c>
      <c r="X71" s="4">
        <v>1938</v>
      </c>
      <c r="Y71" s="5">
        <v>2.4</v>
      </c>
      <c r="Z71" s="4">
        <v>0</v>
      </c>
      <c r="AA71" s="5">
        <v>0</v>
      </c>
      <c r="AB71" s="4">
        <v>77516</v>
      </c>
      <c r="AC71" s="4">
        <v>79454</v>
      </c>
      <c r="AD71">
        <v>66000</v>
      </c>
      <c r="AE71" s="8">
        <f t="shared" si="6"/>
        <v>13454</v>
      </c>
      <c r="AF71">
        <f t="shared" si="5"/>
        <v>0.20384848484848486</v>
      </c>
      <c r="AG71">
        <f t="shared" si="7"/>
        <v>0.2</v>
      </c>
      <c r="AH71" s="10">
        <v>75481</v>
      </c>
      <c r="AI71" s="12">
        <f t="shared" si="8"/>
        <v>9481</v>
      </c>
      <c r="AJ71">
        <f>(AH71-AD71)/AD71</f>
        <v>0.14365151515151514</v>
      </c>
      <c r="AK71">
        <f>AF71-AJ71</f>
        <v>6.0196969696969721E-2</v>
      </c>
    </row>
    <row r="72" spans="1:37" x14ac:dyDescent="0.35">
      <c r="A72" s="2">
        <v>71</v>
      </c>
      <c r="B72" s="3" t="s">
        <v>92</v>
      </c>
      <c r="C72" s="3" t="s">
        <v>30</v>
      </c>
      <c r="D72" s="3" t="s">
        <v>96</v>
      </c>
      <c r="E72" s="2">
        <v>1350</v>
      </c>
      <c r="F72" s="2">
        <v>2</v>
      </c>
      <c r="G72" s="4">
        <v>95.05</v>
      </c>
      <c r="H72" s="3" t="s">
        <v>32</v>
      </c>
      <c r="I72" s="2">
        <v>0</v>
      </c>
      <c r="J72" s="4">
        <v>63211</v>
      </c>
      <c r="K72" s="5">
        <v>53.3</v>
      </c>
      <c r="L72" s="4">
        <v>5630</v>
      </c>
      <c r="M72" s="5">
        <v>4.7</v>
      </c>
      <c r="N72" s="4">
        <v>15525</v>
      </c>
      <c r="O72" s="5">
        <v>13.1</v>
      </c>
      <c r="P72" s="4">
        <v>12150</v>
      </c>
      <c r="Q72" s="5">
        <v>10.199999999999999</v>
      </c>
      <c r="R72" s="4">
        <v>9720</v>
      </c>
      <c r="S72" s="5">
        <v>8.1999999999999993</v>
      </c>
      <c r="T72" s="4">
        <v>6150</v>
      </c>
      <c r="U72" s="5">
        <v>5.2</v>
      </c>
      <c r="V72" s="4">
        <v>2800</v>
      </c>
      <c r="W72" s="5">
        <v>2.4</v>
      </c>
      <c r="X72" s="4">
        <v>3456</v>
      </c>
      <c r="Y72" s="5">
        <v>2.9</v>
      </c>
      <c r="Z72" s="4">
        <v>0</v>
      </c>
      <c r="AA72" s="5">
        <v>0</v>
      </c>
      <c r="AB72" s="4">
        <v>115186</v>
      </c>
      <c r="AC72" s="4">
        <v>118642</v>
      </c>
      <c r="AD72">
        <v>73000</v>
      </c>
      <c r="AE72" s="8">
        <f t="shared" si="6"/>
        <v>45642</v>
      </c>
      <c r="AF72">
        <f t="shared" si="5"/>
        <v>0.62523287671232874</v>
      </c>
      <c r="AG72">
        <f t="shared" si="7"/>
        <v>0.63</v>
      </c>
      <c r="AH72" s="10">
        <v>112710</v>
      </c>
      <c r="AI72" s="12">
        <f t="shared" si="8"/>
        <v>39710</v>
      </c>
      <c r="AJ72">
        <f>(AH72-AD72)/AD72</f>
        <v>0.54397260273972603</v>
      </c>
      <c r="AK72">
        <f>AF72-AJ72</f>
        <v>8.1260273972602715E-2</v>
      </c>
    </row>
    <row r="73" spans="1:37" x14ac:dyDescent="0.35">
      <c r="A73" s="2">
        <v>72</v>
      </c>
      <c r="B73" s="3" t="s">
        <v>92</v>
      </c>
      <c r="C73" s="3" t="s">
        <v>30</v>
      </c>
      <c r="D73" s="3" t="s">
        <v>97</v>
      </c>
      <c r="E73" s="2">
        <v>1450</v>
      </c>
      <c r="F73" s="2">
        <v>2</v>
      </c>
      <c r="G73" s="4">
        <v>95.05</v>
      </c>
      <c r="H73" s="3" t="s">
        <v>32</v>
      </c>
      <c r="I73" s="2">
        <v>0</v>
      </c>
      <c r="J73" s="4">
        <v>67893</v>
      </c>
      <c r="K73" s="5">
        <v>53.7</v>
      </c>
      <c r="L73" s="4">
        <v>5630</v>
      </c>
      <c r="M73" s="5">
        <v>4.5</v>
      </c>
      <c r="N73" s="4">
        <v>16675</v>
      </c>
      <c r="O73" s="5">
        <v>13.2</v>
      </c>
      <c r="P73" s="4">
        <v>13050</v>
      </c>
      <c r="Q73" s="5">
        <v>10.3</v>
      </c>
      <c r="R73" s="4">
        <v>10440</v>
      </c>
      <c r="S73" s="5">
        <v>8.3000000000000007</v>
      </c>
      <c r="T73" s="4">
        <v>6150</v>
      </c>
      <c r="U73" s="5">
        <v>4.9000000000000004</v>
      </c>
      <c r="V73" s="4">
        <v>2800</v>
      </c>
      <c r="W73" s="5">
        <v>2.2000000000000002</v>
      </c>
      <c r="X73" s="4">
        <v>3679</v>
      </c>
      <c r="Y73" s="5">
        <v>2.9</v>
      </c>
      <c r="Z73" s="4">
        <v>0</v>
      </c>
      <c r="AA73" s="5">
        <v>0</v>
      </c>
      <c r="AB73" s="4">
        <v>122638</v>
      </c>
      <c r="AC73" s="4">
        <v>126317</v>
      </c>
      <c r="AD73">
        <v>75000</v>
      </c>
      <c r="AE73" s="8">
        <f t="shared" si="6"/>
        <v>51317</v>
      </c>
      <c r="AF73">
        <f t="shared" si="5"/>
        <v>0.68422666666666665</v>
      </c>
      <c r="AG73">
        <f t="shared" si="7"/>
        <v>0.68</v>
      </c>
      <c r="AH73" s="10">
        <v>151580</v>
      </c>
      <c r="AI73" s="12">
        <f t="shared" si="8"/>
        <v>76580</v>
      </c>
      <c r="AJ73">
        <f>(AH73-AD73)/AD73</f>
        <v>1.0210666666666666</v>
      </c>
      <c r="AK73">
        <f>AF73-AJ73</f>
        <v>-0.33683999999999992</v>
      </c>
    </row>
    <row r="74" spans="1:37" x14ac:dyDescent="0.35">
      <c r="A74" s="2">
        <v>73</v>
      </c>
      <c r="B74" s="3" t="s">
        <v>92</v>
      </c>
      <c r="C74" s="3" t="s">
        <v>30</v>
      </c>
      <c r="D74" s="3" t="s">
        <v>98</v>
      </c>
      <c r="E74" s="2">
        <v>1340</v>
      </c>
      <c r="F74" s="2">
        <v>2</v>
      </c>
      <c r="G74" s="4">
        <v>95.05</v>
      </c>
      <c r="H74" s="3" t="s">
        <v>32</v>
      </c>
      <c r="I74" s="2">
        <v>0</v>
      </c>
      <c r="J74" s="4">
        <v>62742</v>
      </c>
      <c r="K74" s="5">
        <v>53.2</v>
      </c>
      <c r="L74" s="4">
        <v>5630</v>
      </c>
      <c r="M74" s="5">
        <v>4.8</v>
      </c>
      <c r="N74" s="4">
        <v>15410</v>
      </c>
      <c r="O74" s="5">
        <v>13.1</v>
      </c>
      <c r="P74" s="4">
        <v>12060</v>
      </c>
      <c r="Q74" s="5">
        <v>10.199999999999999</v>
      </c>
      <c r="R74" s="4">
        <v>9648</v>
      </c>
      <c r="S74" s="5">
        <v>8.1999999999999993</v>
      </c>
      <c r="T74" s="4">
        <v>6150</v>
      </c>
      <c r="U74" s="5">
        <v>5.2</v>
      </c>
      <c r="V74" s="4">
        <v>2800</v>
      </c>
      <c r="W74" s="5">
        <v>2.4</v>
      </c>
      <c r="X74" s="4">
        <v>3433</v>
      </c>
      <c r="Y74" s="5">
        <v>2.9</v>
      </c>
      <c r="Z74" s="4">
        <v>0</v>
      </c>
      <c r="AA74" s="5">
        <v>0</v>
      </c>
      <c r="AB74" s="4">
        <v>114440</v>
      </c>
      <c r="AC74" s="4">
        <v>117873</v>
      </c>
      <c r="AD74">
        <v>75000</v>
      </c>
      <c r="AE74" s="8">
        <f t="shared" si="6"/>
        <v>42873</v>
      </c>
      <c r="AF74">
        <f t="shared" si="5"/>
        <v>0.57164000000000004</v>
      </c>
      <c r="AG74">
        <f t="shared" si="7"/>
        <v>0.56999999999999995</v>
      </c>
      <c r="AH74" s="10">
        <v>117873</v>
      </c>
      <c r="AI74" s="12">
        <f t="shared" si="8"/>
        <v>42873</v>
      </c>
      <c r="AJ74">
        <f>(AH74-AD74)/AD74</f>
        <v>0.57164000000000004</v>
      </c>
      <c r="AK74">
        <f>AF74-AJ74</f>
        <v>0</v>
      </c>
    </row>
    <row r="75" spans="1:37" x14ac:dyDescent="0.35">
      <c r="A75" s="2">
        <v>74</v>
      </c>
      <c r="B75" s="3" t="s">
        <v>29</v>
      </c>
      <c r="C75" s="3" t="s">
        <v>30</v>
      </c>
      <c r="D75" s="3" t="s">
        <v>99</v>
      </c>
      <c r="E75" s="2">
        <v>260</v>
      </c>
      <c r="F75" s="2">
        <v>1</v>
      </c>
      <c r="G75" s="4">
        <v>95.05</v>
      </c>
      <c r="H75" s="3" t="s">
        <v>32</v>
      </c>
      <c r="I75" s="2">
        <v>0</v>
      </c>
      <c r="J75" s="4">
        <v>5694</v>
      </c>
      <c r="K75" s="5">
        <v>43.1</v>
      </c>
      <c r="L75" s="4">
        <v>1380</v>
      </c>
      <c r="M75" s="5">
        <v>10.4</v>
      </c>
      <c r="N75" s="4">
        <v>1430</v>
      </c>
      <c r="O75" s="5">
        <v>10.8</v>
      </c>
      <c r="P75" s="4">
        <v>1170</v>
      </c>
      <c r="Q75" s="5">
        <v>8.9</v>
      </c>
      <c r="R75" s="4">
        <v>832</v>
      </c>
      <c r="S75" s="5">
        <v>6.3</v>
      </c>
      <c r="T75" s="4">
        <v>1350</v>
      </c>
      <c r="U75" s="5">
        <v>10.199999999999999</v>
      </c>
      <c r="V75" s="4">
        <v>1100</v>
      </c>
      <c r="W75" s="5">
        <v>8.3000000000000007</v>
      </c>
      <c r="X75" s="4">
        <v>259</v>
      </c>
      <c r="Y75" s="5">
        <v>2</v>
      </c>
      <c r="Z75" s="4">
        <v>0</v>
      </c>
      <c r="AA75" s="5">
        <v>0</v>
      </c>
      <c r="AB75" s="4">
        <v>12956</v>
      </c>
      <c r="AC75" s="4">
        <v>13215</v>
      </c>
      <c r="AD75">
        <v>28000</v>
      </c>
      <c r="AE75" s="8">
        <f t="shared" si="6"/>
        <v>-14785</v>
      </c>
      <c r="AF75">
        <f t="shared" si="5"/>
        <v>-0.52803571428571427</v>
      </c>
      <c r="AG75">
        <f t="shared" si="7"/>
        <v>-0.53</v>
      </c>
      <c r="AH75" s="10">
        <v>13215</v>
      </c>
      <c r="AI75" s="12">
        <f t="shared" si="8"/>
        <v>-14785</v>
      </c>
      <c r="AJ75">
        <f>(AH75-AD75)/AD75</f>
        <v>-0.52803571428571427</v>
      </c>
      <c r="AK75">
        <f>AF75-AJ75</f>
        <v>0</v>
      </c>
    </row>
    <row r="76" spans="1:37" x14ac:dyDescent="0.35">
      <c r="A76" s="2">
        <v>75</v>
      </c>
      <c r="B76" s="3" t="s">
        <v>29</v>
      </c>
      <c r="C76" s="3" t="s">
        <v>30</v>
      </c>
      <c r="D76" s="3" t="s">
        <v>100</v>
      </c>
      <c r="E76" s="2">
        <v>270</v>
      </c>
      <c r="F76" s="2">
        <v>1</v>
      </c>
      <c r="G76" s="4">
        <v>95.05</v>
      </c>
      <c r="H76" s="3" t="s">
        <v>32</v>
      </c>
      <c r="I76" s="2">
        <v>0</v>
      </c>
      <c r="J76" s="4">
        <v>5913</v>
      </c>
      <c r="K76" s="5">
        <v>43.6</v>
      </c>
      <c r="L76" s="4">
        <v>1380</v>
      </c>
      <c r="M76" s="5">
        <v>10.199999999999999</v>
      </c>
      <c r="N76" s="4">
        <v>1485</v>
      </c>
      <c r="O76" s="5">
        <v>10.9</v>
      </c>
      <c r="P76" s="4">
        <v>1215</v>
      </c>
      <c r="Q76" s="5">
        <v>9</v>
      </c>
      <c r="R76" s="4">
        <v>864</v>
      </c>
      <c r="S76" s="5">
        <v>6.4</v>
      </c>
      <c r="T76" s="4">
        <v>1350</v>
      </c>
      <c r="U76" s="5">
        <v>9.9</v>
      </c>
      <c r="V76" s="4">
        <v>1100</v>
      </c>
      <c r="W76" s="5">
        <v>8.1</v>
      </c>
      <c r="X76" s="4">
        <v>266</v>
      </c>
      <c r="Y76" s="5">
        <v>2</v>
      </c>
      <c r="Z76" s="4">
        <v>0</v>
      </c>
      <c r="AA76" s="5">
        <v>0</v>
      </c>
      <c r="AB76" s="4">
        <v>13307</v>
      </c>
      <c r="AC76" s="4">
        <v>13573</v>
      </c>
      <c r="AD76">
        <v>28000</v>
      </c>
      <c r="AE76" s="8">
        <f t="shared" si="6"/>
        <v>-14427</v>
      </c>
      <c r="AF76">
        <f t="shared" si="5"/>
        <v>-0.51524999999999999</v>
      </c>
      <c r="AG76">
        <f t="shared" si="7"/>
        <v>-0.52</v>
      </c>
      <c r="AH76" s="10">
        <v>13573</v>
      </c>
      <c r="AI76" s="12">
        <f t="shared" si="8"/>
        <v>-14427</v>
      </c>
      <c r="AJ76">
        <f>(AH76-AD76)/AD76</f>
        <v>-0.51524999999999999</v>
      </c>
      <c r="AK76">
        <f>AF76-AJ76</f>
        <v>0</v>
      </c>
    </row>
    <row r="77" spans="1:37" x14ac:dyDescent="0.35">
      <c r="A77" s="2">
        <v>76</v>
      </c>
      <c r="B77" s="3" t="s">
        <v>101</v>
      </c>
      <c r="C77" s="3" t="s">
        <v>30</v>
      </c>
      <c r="D77" s="3" t="s">
        <v>102</v>
      </c>
      <c r="E77" s="2">
        <v>250</v>
      </c>
      <c r="F77" s="2">
        <v>1</v>
      </c>
      <c r="G77" s="4">
        <v>95.05</v>
      </c>
      <c r="H77" s="3" t="s">
        <v>32</v>
      </c>
      <c r="I77" s="2">
        <v>0</v>
      </c>
      <c r="J77" s="4">
        <v>2829</v>
      </c>
      <c r="K77" s="5">
        <v>44.6</v>
      </c>
      <c r="L77" s="4">
        <v>910</v>
      </c>
      <c r="M77" s="5">
        <v>14.3</v>
      </c>
      <c r="N77" s="4">
        <v>575</v>
      </c>
      <c r="O77" s="5">
        <v>9.1</v>
      </c>
      <c r="P77" s="4">
        <v>625</v>
      </c>
      <c r="Q77" s="5">
        <v>9.8000000000000007</v>
      </c>
      <c r="R77" s="4">
        <v>400</v>
      </c>
      <c r="S77" s="5">
        <v>6.3</v>
      </c>
      <c r="T77" s="4">
        <v>315</v>
      </c>
      <c r="U77" s="5">
        <v>5</v>
      </c>
      <c r="V77" s="4">
        <v>600</v>
      </c>
      <c r="W77" s="5">
        <v>9.5</v>
      </c>
      <c r="X77" s="4">
        <v>94</v>
      </c>
      <c r="Y77" s="5">
        <v>1.5</v>
      </c>
      <c r="Z77" s="4">
        <v>0</v>
      </c>
      <c r="AA77" s="5">
        <v>0</v>
      </c>
      <c r="AB77" s="4">
        <v>6254</v>
      </c>
      <c r="AC77" s="4">
        <v>6348</v>
      </c>
      <c r="AD77">
        <v>29000</v>
      </c>
      <c r="AE77" s="8">
        <f t="shared" si="6"/>
        <v>-22652</v>
      </c>
      <c r="AF77">
        <f t="shared" si="5"/>
        <v>-0.78110344827586209</v>
      </c>
      <c r="AG77">
        <f t="shared" si="7"/>
        <v>-0.78</v>
      </c>
      <c r="AH77" s="10">
        <v>6348</v>
      </c>
      <c r="AI77" s="12">
        <f t="shared" si="8"/>
        <v>-22652</v>
      </c>
      <c r="AJ77">
        <f>(AH77-AD77)/AD77</f>
        <v>-0.78110344827586209</v>
      </c>
      <c r="AK77">
        <f>AF77-AJ77</f>
        <v>0</v>
      </c>
    </row>
    <row r="78" spans="1:37" x14ac:dyDescent="0.35">
      <c r="A78" s="2">
        <v>77</v>
      </c>
      <c r="B78" s="3" t="s">
        <v>29</v>
      </c>
      <c r="C78" s="3" t="s">
        <v>30</v>
      </c>
      <c r="D78" s="3" t="s">
        <v>103</v>
      </c>
      <c r="E78" s="2">
        <v>280</v>
      </c>
      <c r="F78" s="2">
        <v>1</v>
      </c>
      <c r="G78" s="4">
        <v>95.05</v>
      </c>
      <c r="H78" s="3" t="s">
        <v>32</v>
      </c>
      <c r="I78" s="2">
        <v>0</v>
      </c>
      <c r="J78" s="4">
        <v>6132</v>
      </c>
      <c r="K78" s="5">
        <v>44</v>
      </c>
      <c r="L78" s="4">
        <v>1380</v>
      </c>
      <c r="M78" s="5">
        <v>9.9</v>
      </c>
      <c r="N78" s="4">
        <v>1540</v>
      </c>
      <c r="O78" s="5">
        <v>11.1</v>
      </c>
      <c r="P78" s="4">
        <v>1260</v>
      </c>
      <c r="Q78" s="5">
        <v>9</v>
      </c>
      <c r="R78" s="4">
        <v>896</v>
      </c>
      <c r="S78" s="5">
        <v>6.4</v>
      </c>
      <c r="T78" s="4">
        <v>1350</v>
      </c>
      <c r="U78" s="5">
        <v>9.6999999999999993</v>
      </c>
      <c r="V78" s="4">
        <v>1100</v>
      </c>
      <c r="W78" s="5">
        <v>7.9</v>
      </c>
      <c r="X78" s="4">
        <v>273</v>
      </c>
      <c r="Y78" s="5">
        <v>2</v>
      </c>
      <c r="Z78" s="4">
        <v>0</v>
      </c>
      <c r="AA78" s="5">
        <v>0</v>
      </c>
      <c r="AB78" s="4">
        <v>13658</v>
      </c>
      <c r="AC78" s="4">
        <v>13931</v>
      </c>
      <c r="AD78">
        <v>30000</v>
      </c>
      <c r="AE78" s="8">
        <f t="shared" si="6"/>
        <v>-16069</v>
      </c>
      <c r="AF78">
        <f t="shared" si="5"/>
        <v>-0.53563333333333329</v>
      </c>
      <c r="AG78">
        <f t="shared" si="7"/>
        <v>-0.54</v>
      </c>
      <c r="AH78" s="10">
        <v>13931</v>
      </c>
      <c r="AI78" s="12">
        <f t="shared" si="8"/>
        <v>-16069</v>
      </c>
      <c r="AJ78">
        <f>(AH78-AD78)/AD78</f>
        <v>-0.53563333333333329</v>
      </c>
      <c r="AK78">
        <f>AF78-AJ78</f>
        <v>0</v>
      </c>
    </row>
    <row r="79" spans="1:37" x14ac:dyDescent="0.35">
      <c r="A79" s="2">
        <v>78</v>
      </c>
      <c r="B79" s="3" t="s">
        <v>33</v>
      </c>
      <c r="C79" s="3" t="s">
        <v>30</v>
      </c>
      <c r="D79" s="3" t="s">
        <v>104</v>
      </c>
      <c r="E79" s="2">
        <v>350</v>
      </c>
      <c r="F79" s="2">
        <v>1</v>
      </c>
      <c r="G79" s="4">
        <v>95.05</v>
      </c>
      <c r="H79" s="3" t="s">
        <v>32</v>
      </c>
      <c r="I79" s="2">
        <v>0</v>
      </c>
      <c r="J79" s="4">
        <v>5003</v>
      </c>
      <c r="K79" s="5">
        <v>46.4</v>
      </c>
      <c r="L79" s="4">
        <v>1000</v>
      </c>
      <c r="M79" s="5">
        <v>9.3000000000000007</v>
      </c>
      <c r="N79" s="4">
        <v>1260</v>
      </c>
      <c r="O79" s="5">
        <v>11.7</v>
      </c>
      <c r="P79" s="4">
        <v>875</v>
      </c>
      <c r="Q79" s="5">
        <v>8.1</v>
      </c>
      <c r="R79" s="4">
        <v>805</v>
      </c>
      <c r="S79" s="5">
        <v>7.5</v>
      </c>
      <c r="T79" s="4">
        <v>863</v>
      </c>
      <c r="U79" s="5">
        <v>8</v>
      </c>
      <c r="V79" s="4">
        <v>760</v>
      </c>
      <c r="W79" s="5">
        <v>7.1</v>
      </c>
      <c r="X79" s="4">
        <v>211</v>
      </c>
      <c r="Y79" s="5">
        <v>2</v>
      </c>
      <c r="Z79" s="4">
        <v>0</v>
      </c>
      <c r="AA79" s="5">
        <v>0</v>
      </c>
      <c r="AB79" s="4">
        <v>10566</v>
      </c>
      <c r="AC79" s="4">
        <v>10777</v>
      </c>
      <c r="AD79">
        <v>32000</v>
      </c>
      <c r="AE79" s="8">
        <f t="shared" si="6"/>
        <v>-21223</v>
      </c>
      <c r="AF79">
        <f t="shared" si="5"/>
        <v>-0.66321874999999997</v>
      </c>
      <c r="AG79">
        <f t="shared" si="7"/>
        <v>-0.66</v>
      </c>
      <c r="AH79" s="10">
        <v>21554</v>
      </c>
      <c r="AI79" s="12">
        <f t="shared" si="8"/>
        <v>-10446</v>
      </c>
      <c r="AJ79">
        <f>(AH79-AD79)/AD79</f>
        <v>-0.32643749999999999</v>
      </c>
      <c r="AK79">
        <f>AF79-AJ79</f>
        <v>-0.33678124999999998</v>
      </c>
    </row>
    <row r="80" spans="1:37" x14ac:dyDescent="0.35">
      <c r="A80" s="2">
        <v>79</v>
      </c>
      <c r="B80" s="3" t="s">
        <v>29</v>
      </c>
      <c r="C80" s="3" t="s">
        <v>30</v>
      </c>
      <c r="D80" s="3" t="s">
        <v>104</v>
      </c>
      <c r="E80" s="2">
        <v>350</v>
      </c>
      <c r="F80" s="2">
        <v>1</v>
      </c>
      <c r="G80" s="4">
        <v>95.05</v>
      </c>
      <c r="H80" s="3" t="s">
        <v>32</v>
      </c>
      <c r="I80" s="2">
        <v>0</v>
      </c>
      <c r="J80" s="4">
        <v>7665</v>
      </c>
      <c r="K80" s="5">
        <v>46.6</v>
      </c>
      <c r="L80" s="4">
        <v>1380</v>
      </c>
      <c r="M80" s="5">
        <v>8.4</v>
      </c>
      <c r="N80" s="4">
        <v>1925</v>
      </c>
      <c r="O80" s="5">
        <v>11.7</v>
      </c>
      <c r="P80" s="4">
        <v>1575</v>
      </c>
      <c r="Q80" s="5">
        <v>9.6</v>
      </c>
      <c r="R80" s="4">
        <v>1120</v>
      </c>
      <c r="S80" s="5">
        <v>6.8</v>
      </c>
      <c r="T80" s="4">
        <v>1350</v>
      </c>
      <c r="U80" s="5">
        <v>8.1999999999999993</v>
      </c>
      <c r="V80" s="4">
        <v>1100</v>
      </c>
      <c r="W80" s="5">
        <v>6.7</v>
      </c>
      <c r="X80" s="4">
        <v>322</v>
      </c>
      <c r="Y80" s="5">
        <v>2</v>
      </c>
      <c r="Z80" s="4">
        <v>0</v>
      </c>
      <c r="AA80" s="5">
        <v>0</v>
      </c>
      <c r="AB80" s="4">
        <v>16115</v>
      </c>
      <c r="AC80" s="4">
        <v>16437</v>
      </c>
      <c r="AD80">
        <v>35600</v>
      </c>
      <c r="AE80" s="8">
        <f t="shared" si="6"/>
        <v>-19163</v>
      </c>
      <c r="AF80">
        <f t="shared" si="5"/>
        <v>-0.53828651685393258</v>
      </c>
      <c r="AG80">
        <f t="shared" si="7"/>
        <v>-0.54</v>
      </c>
      <c r="AH80" s="10">
        <v>32874</v>
      </c>
      <c r="AI80" s="12">
        <f t="shared" si="8"/>
        <v>-2726</v>
      </c>
      <c r="AJ80">
        <f>(AH80-AD80)/AD80</f>
        <v>-7.6573033707865168E-2</v>
      </c>
      <c r="AK80">
        <f>AF80-AJ80</f>
        <v>-0.46171348314606742</v>
      </c>
    </row>
    <row r="81" spans="1:37" x14ac:dyDescent="0.35">
      <c r="A81" s="2">
        <v>80</v>
      </c>
      <c r="B81" s="3" t="s">
        <v>29</v>
      </c>
      <c r="C81" s="3" t="s">
        <v>30</v>
      </c>
      <c r="D81" s="3" t="s">
        <v>105</v>
      </c>
      <c r="E81" s="2">
        <v>230</v>
      </c>
      <c r="F81" s="2">
        <v>1</v>
      </c>
      <c r="G81" s="4">
        <v>95.05</v>
      </c>
      <c r="H81" s="3" t="s">
        <v>32</v>
      </c>
      <c r="I81" s="2">
        <v>0</v>
      </c>
      <c r="J81" s="4">
        <v>5037</v>
      </c>
      <c r="K81" s="5">
        <v>41.5</v>
      </c>
      <c r="L81" s="4">
        <v>1380</v>
      </c>
      <c r="M81" s="5">
        <v>11.4</v>
      </c>
      <c r="N81" s="4">
        <v>1265</v>
      </c>
      <c r="O81" s="5">
        <v>10.4</v>
      </c>
      <c r="P81" s="4">
        <v>1035</v>
      </c>
      <c r="Q81" s="5">
        <v>8.5</v>
      </c>
      <c r="R81" s="4">
        <v>736</v>
      </c>
      <c r="S81" s="5">
        <v>6.1</v>
      </c>
      <c r="T81" s="4">
        <v>1350</v>
      </c>
      <c r="U81" s="5">
        <v>11.1</v>
      </c>
      <c r="V81" s="4">
        <v>1100</v>
      </c>
      <c r="W81" s="5">
        <v>9.1</v>
      </c>
      <c r="X81" s="4">
        <v>238</v>
      </c>
      <c r="Y81" s="5">
        <v>2</v>
      </c>
      <c r="Z81" s="4">
        <v>0</v>
      </c>
      <c r="AA81" s="5">
        <v>0</v>
      </c>
      <c r="AB81" s="4">
        <v>11903</v>
      </c>
      <c r="AC81" s="4">
        <v>12141</v>
      </c>
      <c r="AD81">
        <v>30000</v>
      </c>
      <c r="AE81" s="8">
        <f t="shared" si="6"/>
        <v>-17859</v>
      </c>
      <c r="AF81">
        <f t="shared" si="5"/>
        <v>-0.59530000000000005</v>
      </c>
      <c r="AG81">
        <f t="shared" si="7"/>
        <v>-0.6</v>
      </c>
      <c r="AH81" s="10">
        <v>24282</v>
      </c>
      <c r="AI81" s="12">
        <f t="shared" si="8"/>
        <v>-5718</v>
      </c>
      <c r="AJ81">
        <f>(AH81-AD81)/AD81</f>
        <v>-0.19059999999999999</v>
      </c>
      <c r="AK81">
        <f>AF81-AJ81</f>
        <v>-0.40470000000000006</v>
      </c>
    </row>
    <row r="82" spans="1:37" x14ac:dyDescent="0.35">
      <c r="A82" s="2">
        <v>81</v>
      </c>
      <c r="B82" s="3" t="s">
        <v>29</v>
      </c>
      <c r="C82" s="3" t="s">
        <v>30</v>
      </c>
      <c r="D82" s="3" t="s">
        <v>106</v>
      </c>
      <c r="E82" s="2">
        <v>260</v>
      </c>
      <c r="F82" s="2">
        <v>1</v>
      </c>
      <c r="G82" s="4">
        <v>95.05</v>
      </c>
      <c r="H82" s="3" t="s">
        <v>32</v>
      </c>
      <c r="I82" s="2">
        <v>0</v>
      </c>
      <c r="J82" s="4">
        <v>5694</v>
      </c>
      <c r="K82" s="5">
        <v>43.1</v>
      </c>
      <c r="L82" s="4">
        <v>1380</v>
      </c>
      <c r="M82" s="5">
        <v>10.4</v>
      </c>
      <c r="N82" s="4">
        <v>1430</v>
      </c>
      <c r="O82" s="5">
        <v>10.8</v>
      </c>
      <c r="P82" s="4">
        <v>1170</v>
      </c>
      <c r="Q82" s="5">
        <v>8.9</v>
      </c>
      <c r="R82" s="4">
        <v>832</v>
      </c>
      <c r="S82" s="5">
        <v>6.3</v>
      </c>
      <c r="T82" s="4">
        <v>1350</v>
      </c>
      <c r="U82" s="5">
        <v>10.199999999999999</v>
      </c>
      <c r="V82" s="4">
        <v>1100</v>
      </c>
      <c r="W82" s="5">
        <v>8.3000000000000007</v>
      </c>
      <c r="X82" s="4">
        <v>259</v>
      </c>
      <c r="Y82" s="5">
        <v>2</v>
      </c>
      <c r="Z82" s="4">
        <v>0</v>
      </c>
      <c r="AA82" s="5">
        <v>0</v>
      </c>
      <c r="AB82" s="4">
        <v>12956</v>
      </c>
      <c r="AC82" s="4">
        <v>13215</v>
      </c>
      <c r="AD82">
        <v>18100</v>
      </c>
      <c r="AE82" s="8">
        <f t="shared" si="6"/>
        <v>-4885</v>
      </c>
      <c r="AF82">
        <f t="shared" si="5"/>
        <v>-0.26988950276243096</v>
      </c>
      <c r="AG82">
        <f t="shared" si="7"/>
        <v>-0.27</v>
      </c>
      <c r="AH82" s="10">
        <v>13215</v>
      </c>
      <c r="AI82" s="12">
        <f t="shared" si="8"/>
        <v>-4885</v>
      </c>
      <c r="AJ82">
        <f>(AH82-AD82)/AD82</f>
        <v>-0.26988950276243096</v>
      </c>
      <c r="AK82">
        <f>AF82-AJ82</f>
        <v>0</v>
      </c>
    </row>
    <row r="83" spans="1:37" x14ac:dyDescent="0.35">
      <c r="A83" s="2">
        <v>82</v>
      </c>
      <c r="B83" s="3" t="s">
        <v>29</v>
      </c>
      <c r="C83" s="3" t="s">
        <v>30</v>
      </c>
      <c r="D83" s="3" t="s">
        <v>107</v>
      </c>
      <c r="E83" s="2">
        <v>210</v>
      </c>
      <c r="F83" s="2">
        <v>1</v>
      </c>
      <c r="G83" s="4">
        <v>95.05</v>
      </c>
      <c r="H83" s="3" t="s">
        <v>32</v>
      </c>
      <c r="I83" s="2">
        <v>0</v>
      </c>
      <c r="J83" s="4">
        <v>4599</v>
      </c>
      <c r="K83" s="5">
        <v>40.299999999999997</v>
      </c>
      <c r="L83" s="4">
        <v>1380</v>
      </c>
      <c r="M83" s="5">
        <v>12.1</v>
      </c>
      <c r="N83" s="4">
        <v>1155</v>
      </c>
      <c r="O83" s="5">
        <v>10.1</v>
      </c>
      <c r="P83" s="4">
        <v>945</v>
      </c>
      <c r="Q83" s="5">
        <v>8.3000000000000007</v>
      </c>
      <c r="R83" s="4">
        <v>672</v>
      </c>
      <c r="S83" s="5">
        <v>5.9</v>
      </c>
      <c r="T83" s="4">
        <v>1350</v>
      </c>
      <c r="U83" s="5">
        <v>11.8</v>
      </c>
      <c r="V83" s="4">
        <v>1100</v>
      </c>
      <c r="W83" s="5">
        <v>9.6</v>
      </c>
      <c r="X83" s="4">
        <v>224</v>
      </c>
      <c r="Y83" s="5">
        <v>2</v>
      </c>
      <c r="Z83" s="4">
        <v>0</v>
      </c>
      <c r="AA83" s="5">
        <v>0</v>
      </c>
      <c r="AB83" s="4">
        <v>11201</v>
      </c>
      <c r="AC83" s="4">
        <v>11425</v>
      </c>
      <c r="AD83">
        <v>16000</v>
      </c>
      <c r="AE83" s="8">
        <f t="shared" si="6"/>
        <v>-4575</v>
      </c>
      <c r="AF83">
        <f t="shared" si="5"/>
        <v>-0.28593750000000001</v>
      </c>
      <c r="AG83">
        <f t="shared" si="7"/>
        <v>-0.28999999999999998</v>
      </c>
      <c r="AH83" s="10">
        <v>11425</v>
      </c>
      <c r="AI83" s="12">
        <f t="shared" si="8"/>
        <v>-4575</v>
      </c>
      <c r="AJ83">
        <f>(AH83-AD83)/AD83</f>
        <v>-0.28593750000000001</v>
      </c>
      <c r="AK83">
        <f>AF83-AJ83</f>
        <v>0</v>
      </c>
    </row>
    <row r="84" spans="1:37" x14ac:dyDescent="0.35">
      <c r="A84" s="2">
        <v>83</v>
      </c>
      <c r="B84" s="3" t="s">
        <v>29</v>
      </c>
      <c r="C84" s="3" t="s">
        <v>30</v>
      </c>
      <c r="D84" s="3" t="s">
        <v>108</v>
      </c>
      <c r="E84" s="2">
        <v>390</v>
      </c>
      <c r="F84" s="2">
        <v>1</v>
      </c>
      <c r="G84" s="4">
        <v>95.05</v>
      </c>
      <c r="H84" s="3" t="s">
        <v>32</v>
      </c>
      <c r="I84" s="2">
        <v>0</v>
      </c>
      <c r="J84" s="4">
        <v>8541</v>
      </c>
      <c r="K84" s="5">
        <v>47.8</v>
      </c>
      <c r="L84" s="4">
        <v>1380</v>
      </c>
      <c r="M84" s="5">
        <v>7.7</v>
      </c>
      <c r="N84" s="4">
        <v>2145</v>
      </c>
      <c r="O84" s="5">
        <v>12</v>
      </c>
      <c r="P84" s="4">
        <v>1755</v>
      </c>
      <c r="Q84" s="5">
        <v>9.8000000000000007</v>
      </c>
      <c r="R84" s="4">
        <v>1248</v>
      </c>
      <c r="S84" s="5">
        <v>7</v>
      </c>
      <c r="T84" s="4">
        <v>1350</v>
      </c>
      <c r="U84" s="5">
        <v>7.6</v>
      </c>
      <c r="V84" s="4">
        <v>1100</v>
      </c>
      <c r="W84" s="5">
        <v>6.2</v>
      </c>
      <c r="X84" s="4">
        <v>350</v>
      </c>
      <c r="Y84" s="5">
        <v>2</v>
      </c>
      <c r="Z84" s="4">
        <v>0</v>
      </c>
      <c r="AA84" s="5">
        <v>0</v>
      </c>
      <c r="AB84" s="4">
        <v>17519</v>
      </c>
      <c r="AC84" s="4">
        <v>17869</v>
      </c>
      <c r="AD84">
        <v>16150</v>
      </c>
      <c r="AE84" s="8">
        <f t="shared" si="6"/>
        <v>1719</v>
      </c>
      <c r="AF84">
        <f t="shared" si="5"/>
        <v>0.10643962848297214</v>
      </c>
      <c r="AG84">
        <f t="shared" si="7"/>
        <v>0.11</v>
      </c>
      <c r="AH84" s="10">
        <v>17869</v>
      </c>
      <c r="AI84" s="12">
        <f t="shared" si="8"/>
        <v>1719</v>
      </c>
      <c r="AJ84">
        <f>(AH84-AD84)/AD84</f>
        <v>0.10643962848297214</v>
      </c>
      <c r="AK84">
        <f>AF84-AJ84</f>
        <v>0</v>
      </c>
    </row>
    <row r="85" spans="1:37" x14ac:dyDescent="0.35">
      <c r="A85" s="2">
        <v>84</v>
      </c>
      <c r="B85" s="3" t="s">
        <v>33</v>
      </c>
      <c r="C85" s="3" t="s">
        <v>30</v>
      </c>
      <c r="D85" s="3" t="s">
        <v>109</v>
      </c>
      <c r="E85" s="2">
        <v>270</v>
      </c>
      <c r="F85" s="2">
        <v>1</v>
      </c>
      <c r="G85" s="4">
        <v>95.05</v>
      </c>
      <c r="H85" s="3" t="s">
        <v>32</v>
      </c>
      <c r="I85" s="2">
        <v>0</v>
      </c>
      <c r="J85" s="4">
        <v>3859</v>
      </c>
      <c r="K85" s="5">
        <v>43.2</v>
      </c>
      <c r="L85" s="4">
        <v>1000</v>
      </c>
      <c r="M85" s="5">
        <v>11.2</v>
      </c>
      <c r="N85" s="4">
        <v>972</v>
      </c>
      <c r="O85" s="5">
        <v>10.9</v>
      </c>
      <c r="P85" s="4">
        <v>675</v>
      </c>
      <c r="Q85" s="5">
        <v>7.6</v>
      </c>
      <c r="R85" s="4">
        <v>621</v>
      </c>
      <c r="S85" s="5">
        <v>7</v>
      </c>
      <c r="T85" s="4">
        <v>863</v>
      </c>
      <c r="U85" s="5">
        <v>9.6999999999999993</v>
      </c>
      <c r="V85" s="4">
        <v>760</v>
      </c>
      <c r="W85" s="5">
        <v>8.5</v>
      </c>
      <c r="X85" s="4">
        <v>175</v>
      </c>
      <c r="Y85" s="5">
        <v>2</v>
      </c>
      <c r="Z85" s="4">
        <v>0</v>
      </c>
      <c r="AA85" s="5">
        <v>0</v>
      </c>
      <c r="AB85" s="4">
        <v>8750</v>
      </c>
      <c r="AC85" s="4">
        <v>8925</v>
      </c>
      <c r="AD85">
        <v>15400</v>
      </c>
      <c r="AE85" s="8">
        <f t="shared" si="6"/>
        <v>-6475</v>
      </c>
      <c r="AF85">
        <f t="shared" si="5"/>
        <v>-0.42045454545454547</v>
      </c>
      <c r="AG85">
        <f t="shared" si="7"/>
        <v>-0.42</v>
      </c>
      <c r="AH85" s="10">
        <v>10710</v>
      </c>
      <c r="AI85" s="12">
        <f t="shared" si="8"/>
        <v>-4690</v>
      </c>
      <c r="AJ85">
        <f>(AH85-AD85)/AD85</f>
        <v>-0.30454545454545456</v>
      </c>
      <c r="AK85">
        <f>AF85-AJ85</f>
        <v>-0.11590909090909091</v>
      </c>
    </row>
    <row r="86" spans="1:37" x14ac:dyDescent="0.35">
      <c r="A86" s="2">
        <v>85</v>
      </c>
      <c r="B86" s="3" t="s">
        <v>29</v>
      </c>
      <c r="C86" s="3" t="s">
        <v>30</v>
      </c>
      <c r="D86" s="3" t="s">
        <v>109</v>
      </c>
      <c r="E86" s="2">
        <v>270</v>
      </c>
      <c r="F86" s="2">
        <v>1</v>
      </c>
      <c r="G86" s="4">
        <v>95.05</v>
      </c>
      <c r="H86" s="3" t="s">
        <v>32</v>
      </c>
      <c r="I86" s="2">
        <v>0</v>
      </c>
      <c r="J86" s="4">
        <v>5913</v>
      </c>
      <c r="K86" s="5">
        <v>43.6</v>
      </c>
      <c r="L86" s="4">
        <v>1380</v>
      </c>
      <c r="M86" s="5">
        <v>10.199999999999999</v>
      </c>
      <c r="N86" s="4">
        <v>1485</v>
      </c>
      <c r="O86" s="5">
        <v>10.9</v>
      </c>
      <c r="P86" s="4">
        <v>1215</v>
      </c>
      <c r="Q86" s="5">
        <v>9</v>
      </c>
      <c r="R86" s="4">
        <v>864</v>
      </c>
      <c r="S86" s="5">
        <v>6.4</v>
      </c>
      <c r="T86" s="4">
        <v>1350</v>
      </c>
      <c r="U86" s="5">
        <v>9.9</v>
      </c>
      <c r="V86" s="4">
        <v>1100</v>
      </c>
      <c r="W86" s="5">
        <v>8.1</v>
      </c>
      <c r="X86" s="4">
        <v>266</v>
      </c>
      <c r="Y86" s="5">
        <v>2</v>
      </c>
      <c r="Z86" s="4">
        <v>0</v>
      </c>
      <c r="AA86" s="5">
        <v>0</v>
      </c>
      <c r="AB86" s="4">
        <v>13307</v>
      </c>
      <c r="AC86" s="4">
        <v>13573</v>
      </c>
      <c r="AD86">
        <v>16950</v>
      </c>
      <c r="AE86" s="8">
        <f t="shared" si="6"/>
        <v>-3377</v>
      </c>
      <c r="AF86">
        <f t="shared" si="5"/>
        <v>-0.19923303834808259</v>
      </c>
      <c r="AG86">
        <f t="shared" si="7"/>
        <v>-0.2</v>
      </c>
      <c r="AH86" s="10">
        <v>16288</v>
      </c>
      <c r="AI86" s="12">
        <f t="shared" si="8"/>
        <v>-662</v>
      </c>
      <c r="AJ86">
        <f>(AH86-AD86)/AD86</f>
        <v>-3.9056047197640116E-2</v>
      </c>
      <c r="AK86">
        <f>AF86-AJ86</f>
        <v>-0.16017699115044248</v>
      </c>
    </row>
    <row r="87" spans="1:37" x14ac:dyDescent="0.35">
      <c r="A87" s="2">
        <v>86</v>
      </c>
      <c r="B87" s="3" t="s">
        <v>29</v>
      </c>
      <c r="C87" s="3" t="s">
        <v>30</v>
      </c>
      <c r="D87" s="3" t="s">
        <v>110</v>
      </c>
      <c r="E87" s="2">
        <v>265</v>
      </c>
      <c r="F87" s="2">
        <v>1</v>
      </c>
      <c r="G87" s="4">
        <v>95.05</v>
      </c>
      <c r="H87" s="3" t="s">
        <v>32</v>
      </c>
      <c r="I87" s="2">
        <v>0</v>
      </c>
      <c r="J87" s="4">
        <v>5804</v>
      </c>
      <c r="K87" s="5">
        <v>43.3</v>
      </c>
      <c r="L87" s="4">
        <v>1380</v>
      </c>
      <c r="M87" s="5">
        <v>10.3</v>
      </c>
      <c r="N87" s="4">
        <v>1458</v>
      </c>
      <c r="O87" s="5">
        <v>10.9</v>
      </c>
      <c r="P87" s="4">
        <v>1193</v>
      </c>
      <c r="Q87" s="5">
        <v>8.9</v>
      </c>
      <c r="R87" s="4">
        <v>848</v>
      </c>
      <c r="S87" s="5">
        <v>6.3</v>
      </c>
      <c r="T87" s="4">
        <v>1350</v>
      </c>
      <c r="U87" s="5">
        <v>10.1</v>
      </c>
      <c r="V87" s="4">
        <v>1100</v>
      </c>
      <c r="W87" s="5">
        <v>8.1999999999999993</v>
      </c>
      <c r="X87" s="4">
        <v>263</v>
      </c>
      <c r="Y87" s="5">
        <v>2</v>
      </c>
      <c r="Z87" s="4">
        <v>0</v>
      </c>
      <c r="AA87" s="5">
        <v>0</v>
      </c>
      <c r="AB87" s="4">
        <v>13133</v>
      </c>
      <c r="AC87" s="4">
        <v>13396</v>
      </c>
      <c r="AD87">
        <v>16150</v>
      </c>
      <c r="AE87" s="8">
        <f t="shared" si="6"/>
        <v>-2754</v>
      </c>
      <c r="AF87">
        <f t="shared" si="5"/>
        <v>-0.17052631578947369</v>
      </c>
      <c r="AG87">
        <f t="shared" si="7"/>
        <v>-0.17</v>
      </c>
      <c r="AH87" s="10">
        <v>16075</v>
      </c>
      <c r="AI87" s="12">
        <f t="shared" si="8"/>
        <v>-75</v>
      </c>
      <c r="AJ87">
        <f>(AH87-AD87)/AD87</f>
        <v>-4.6439628482972135E-3</v>
      </c>
      <c r="AK87">
        <f>AF87-AJ87</f>
        <v>-0.16588235294117648</v>
      </c>
    </row>
    <row r="88" spans="1:37" x14ac:dyDescent="0.35">
      <c r="A88" s="2">
        <v>87</v>
      </c>
      <c r="B88" s="3" t="s">
        <v>29</v>
      </c>
      <c r="C88" s="3" t="s">
        <v>30</v>
      </c>
      <c r="D88" s="3" t="s">
        <v>111</v>
      </c>
      <c r="E88" s="2">
        <v>275</v>
      </c>
      <c r="F88" s="2">
        <v>1</v>
      </c>
      <c r="G88" s="4">
        <v>95.05</v>
      </c>
      <c r="H88" s="3" t="s">
        <v>32</v>
      </c>
      <c r="I88" s="2">
        <v>0</v>
      </c>
      <c r="J88" s="4">
        <v>6023</v>
      </c>
      <c r="K88" s="5">
        <v>43.8</v>
      </c>
      <c r="L88" s="4">
        <v>1380</v>
      </c>
      <c r="M88" s="5">
        <v>10</v>
      </c>
      <c r="N88" s="4">
        <v>1513</v>
      </c>
      <c r="O88" s="5">
        <v>11</v>
      </c>
      <c r="P88" s="4">
        <v>1238</v>
      </c>
      <c r="Q88" s="5">
        <v>9</v>
      </c>
      <c r="R88" s="4">
        <v>880</v>
      </c>
      <c r="S88" s="5">
        <v>6.4</v>
      </c>
      <c r="T88" s="4">
        <v>1350</v>
      </c>
      <c r="U88" s="5">
        <v>9.8000000000000007</v>
      </c>
      <c r="V88" s="4">
        <v>1100</v>
      </c>
      <c r="W88" s="5">
        <v>8</v>
      </c>
      <c r="X88" s="4">
        <v>270</v>
      </c>
      <c r="Y88" s="5">
        <v>2</v>
      </c>
      <c r="Z88" s="4">
        <v>0</v>
      </c>
      <c r="AA88" s="5">
        <v>0</v>
      </c>
      <c r="AB88" s="4">
        <v>13484</v>
      </c>
      <c r="AC88" s="4">
        <v>13754</v>
      </c>
      <c r="AD88">
        <v>16150</v>
      </c>
      <c r="AE88" s="8">
        <f t="shared" si="6"/>
        <v>-2396</v>
      </c>
      <c r="AF88">
        <f t="shared" si="5"/>
        <v>-0.14835913312693499</v>
      </c>
      <c r="AG88">
        <f t="shared" si="7"/>
        <v>-0.15</v>
      </c>
      <c r="AH88" s="10">
        <v>13754</v>
      </c>
      <c r="AI88" s="12">
        <f t="shared" si="8"/>
        <v>-2396</v>
      </c>
      <c r="AJ88">
        <f>(AH88-AD88)/AD88</f>
        <v>-0.14835913312693499</v>
      </c>
      <c r="AK88">
        <f>AF88-AJ88</f>
        <v>0</v>
      </c>
    </row>
    <row r="89" spans="1:37" x14ac:dyDescent="0.35">
      <c r="A89" s="2">
        <v>88</v>
      </c>
      <c r="B89" s="3" t="s">
        <v>29</v>
      </c>
      <c r="C89" s="3" t="s">
        <v>30</v>
      </c>
      <c r="D89" s="3" t="s">
        <v>112</v>
      </c>
      <c r="E89" s="2">
        <v>215</v>
      </c>
      <c r="F89" s="2">
        <v>1</v>
      </c>
      <c r="G89" s="4">
        <v>95.05</v>
      </c>
      <c r="H89" s="3" t="s">
        <v>32</v>
      </c>
      <c r="I89" s="2">
        <v>0</v>
      </c>
      <c r="J89" s="4">
        <v>4709</v>
      </c>
      <c r="K89" s="5">
        <v>40.6</v>
      </c>
      <c r="L89" s="4">
        <v>1380</v>
      </c>
      <c r="M89" s="5">
        <v>11.9</v>
      </c>
      <c r="N89" s="4">
        <v>1183</v>
      </c>
      <c r="O89" s="5">
        <v>10.199999999999999</v>
      </c>
      <c r="P89" s="4">
        <v>968</v>
      </c>
      <c r="Q89" s="5">
        <v>8.3000000000000007</v>
      </c>
      <c r="R89" s="4">
        <v>688</v>
      </c>
      <c r="S89" s="5">
        <v>5.9</v>
      </c>
      <c r="T89" s="4">
        <v>1350</v>
      </c>
      <c r="U89" s="5">
        <v>11.6</v>
      </c>
      <c r="V89" s="4">
        <v>1100</v>
      </c>
      <c r="W89" s="5">
        <v>9.5</v>
      </c>
      <c r="X89" s="4">
        <v>228</v>
      </c>
      <c r="Y89" s="5">
        <v>2</v>
      </c>
      <c r="Z89" s="4">
        <v>0</v>
      </c>
      <c r="AA89" s="5">
        <v>0</v>
      </c>
      <c r="AB89" s="4">
        <v>11378</v>
      </c>
      <c r="AC89" s="4">
        <v>11606</v>
      </c>
      <c r="AD89">
        <v>18500</v>
      </c>
      <c r="AE89" s="8">
        <f t="shared" si="6"/>
        <v>-6894</v>
      </c>
      <c r="AF89">
        <f t="shared" si="5"/>
        <v>-0.37264864864864866</v>
      </c>
      <c r="AG89">
        <f t="shared" si="7"/>
        <v>-0.37</v>
      </c>
      <c r="AH89" s="10">
        <v>11606</v>
      </c>
      <c r="AI89" s="12">
        <f t="shared" si="8"/>
        <v>-6894</v>
      </c>
      <c r="AJ89">
        <f>(AH89-AD89)/AD89</f>
        <v>-0.37264864864864866</v>
      </c>
      <c r="AK89">
        <f>AF89-AJ89</f>
        <v>0</v>
      </c>
    </row>
    <row r="90" spans="1:37" x14ac:dyDescent="0.35">
      <c r="A90" s="2">
        <v>89</v>
      </c>
      <c r="B90" s="3" t="s">
        <v>33</v>
      </c>
      <c r="C90" s="3" t="s">
        <v>30</v>
      </c>
      <c r="D90" s="3" t="s">
        <v>113</v>
      </c>
      <c r="E90" s="2">
        <v>270</v>
      </c>
      <c r="F90" s="2">
        <v>1</v>
      </c>
      <c r="G90" s="4">
        <v>95.05</v>
      </c>
      <c r="H90" s="3" t="s">
        <v>32</v>
      </c>
      <c r="I90" s="2">
        <v>0</v>
      </c>
      <c r="J90" s="4">
        <v>3859</v>
      </c>
      <c r="K90" s="5">
        <v>43.2</v>
      </c>
      <c r="L90" s="4">
        <v>1000</v>
      </c>
      <c r="M90" s="5">
        <v>11.2</v>
      </c>
      <c r="N90" s="4">
        <v>972</v>
      </c>
      <c r="O90" s="5">
        <v>10.9</v>
      </c>
      <c r="P90" s="4">
        <v>675</v>
      </c>
      <c r="Q90" s="5">
        <v>7.6</v>
      </c>
      <c r="R90" s="4">
        <v>621</v>
      </c>
      <c r="S90" s="5">
        <v>7</v>
      </c>
      <c r="T90" s="4">
        <v>863</v>
      </c>
      <c r="U90" s="5">
        <v>9.6999999999999993</v>
      </c>
      <c r="V90" s="4">
        <v>760</v>
      </c>
      <c r="W90" s="5">
        <v>8.5</v>
      </c>
      <c r="X90" s="4">
        <v>175</v>
      </c>
      <c r="Y90" s="5">
        <v>2</v>
      </c>
      <c r="Z90" s="4">
        <v>0</v>
      </c>
      <c r="AA90" s="5">
        <v>0</v>
      </c>
      <c r="AB90" s="4">
        <v>8750</v>
      </c>
      <c r="AC90" s="4">
        <v>8925</v>
      </c>
      <c r="AD90">
        <v>15400</v>
      </c>
      <c r="AE90" s="8">
        <f t="shared" si="6"/>
        <v>-6475</v>
      </c>
      <c r="AF90">
        <f t="shared" si="5"/>
        <v>-0.42045454545454547</v>
      </c>
      <c r="AG90">
        <f t="shared" si="7"/>
        <v>-0.42</v>
      </c>
      <c r="AH90" s="10">
        <v>8925</v>
      </c>
      <c r="AI90" s="12">
        <f t="shared" si="8"/>
        <v>-6475</v>
      </c>
      <c r="AJ90">
        <f>(AH90-AD90)/AD90</f>
        <v>-0.42045454545454547</v>
      </c>
      <c r="AK90">
        <f>AF90-AJ90</f>
        <v>0</v>
      </c>
    </row>
    <row r="91" spans="1:37" x14ac:dyDescent="0.35">
      <c r="A91" s="2">
        <v>90</v>
      </c>
      <c r="B91" s="3" t="s">
        <v>29</v>
      </c>
      <c r="C91" s="3" t="s">
        <v>30</v>
      </c>
      <c r="D91" s="3" t="s">
        <v>114</v>
      </c>
      <c r="E91" s="2">
        <v>210</v>
      </c>
      <c r="F91" s="2">
        <v>1</v>
      </c>
      <c r="G91" s="4">
        <v>95.05</v>
      </c>
      <c r="H91" s="3" t="s">
        <v>32</v>
      </c>
      <c r="I91" s="2">
        <v>0</v>
      </c>
      <c r="J91" s="4">
        <v>4599</v>
      </c>
      <c r="K91" s="5">
        <v>40.299999999999997</v>
      </c>
      <c r="L91" s="4">
        <v>1380</v>
      </c>
      <c r="M91" s="5">
        <v>12.1</v>
      </c>
      <c r="N91" s="4">
        <v>1155</v>
      </c>
      <c r="O91" s="5">
        <v>10.1</v>
      </c>
      <c r="P91" s="4">
        <v>945</v>
      </c>
      <c r="Q91" s="5">
        <v>8.3000000000000007</v>
      </c>
      <c r="R91" s="4">
        <v>672</v>
      </c>
      <c r="S91" s="5">
        <v>5.9</v>
      </c>
      <c r="T91" s="4">
        <v>1350</v>
      </c>
      <c r="U91" s="5">
        <v>11.8</v>
      </c>
      <c r="V91" s="4">
        <v>1100</v>
      </c>
      <c r="W91" s="5">
        <v>9.6</v>
      </c>
      <c r="X91" s="4">
        <v>224</v>
      </c>
      <c r="Y91" s="5">
        <v>2</v>
      </c>
      <c r="Z91" s="4">
        <v>0</v>
      </c>
      <c r="AA91" s="5">
        <v>0</v>
      </c>
      <c r="AB91" s="4">
        <v>11201</v>
      </c>
      <c r="AC91" s="4">
        <v>11425</v>
      </c>
      <c r="AD91">
        <v>16100</v>
      </c>
      <c r="AE91" s="8">
        <f t="shared" si="6"/>
        <v>-4675</v>
      </c>
      <c r="AF91">
        <f t="shared" si="5"/>
        <v>-0.29037267080745344</v>
      </c>
      <c r="AG91">
        <f t="shared" si="7"/>
        <v>-0.28999999999999998</v>
      </c>
      <c r="AH91" s="10">
        <v>10854</v>
      </c>
      <c r="AI91" s="12">
        <f t="shared" si="8"/>
        <v>-5246</v>
      </c>
      <c r="AJ91">
        <f>(AH91-AD91)/AD91</f>
        <v>-0.32583850931677016</v>
      </c>
      <c r="AK91">
        <f>AF91-AJ91</f>
        <v>3.5465838509316727E-2</v>
      </c>
    </row>
    <row r="92" spans="1:37" x14ac:dyDescent="0.35">
      <c r="A92" s="2">
        <v>91</v>
      </c>
      <c r="B92" s="3" t="s">
        <v>33</v>
      </c>
      <c r="C92" s="3" t="s">
        <v>30</v>
      </c>
      <c r="D92" s="3" t="s">
        <v>115</v>
      </c>
      <c r="E92" s="2">
        <v>1020</v>
      </c>
      <c r="F92" s="2">
        <v>1</v>
      </c>
      <c r="G92" s="4">
        <v>95.05</v>
      </c>
      <c r="H92" s="3" t="s">
        <v>32</v>
      </c>
      <c r="I92" s="2">
        <v>0</v>
      </c>
      <c r="J92" s="4">
        <v>14579</v>
      </c>
      <c r="K92" s="5">
        <v>55.5</v>
      </c>
      <c r="L92" s="4">
        <v>1000</v>
      </c>
      <c r="M92" s="5">
        <v>3.8</v>
      </c>
      <c r="N92" s="4">
        <v>3672</v>
      </c>
      <c r="O92" s="5">
        <v>14</v>
      </c>
      <c r="P92" s="4">
        <v>2550</v>
      </c>
      <c r="Q92" s="5">
        <v>9.6999999999999993</v>
      </c>
      <c r="R92" s="4">
        <v>2346</v>
      </c>
      <c r="S92" s="5">
        <v>8.9</v>
      </c>
      <c r="T92" s="4">
        <v>863</v>
      </c>
      <c r="U92" s="5">
        <v>3.3</v>
      </c>
      <c r="V92" s="4">
        <v>760</v>
      </c>
      <c r="W92" s="5">
        <v>2.9</v>
      </c>
      <c r="X92" s="4">
        <v>515</v>
      </c>
      <c r="Y92" s="5">
        <v>2</v>
      </c>
      <c r="Z92" s="4">
        <v>0</v>
      </c>
      <c r="AA92" s="5">
        <v>0</v>
      </c>
      <c r="AB92" s="4">
        <v>25770</v>
      </c>
      <c r="AC92" s="4">
        <v>26285</v>
      </c>
      <c r="AD92">
        <v>47000</v>
      </c>
      <c r="AE92" s="8">
        <f t="shared" si="6"/>
        <v>-20715</v>
      </c>
      <c r="AF92">
        <f t="shared" si="5"/>
        <v>-0.44074468085106383</v>
      </c>
      <c r="AG92">
        <f t="shared" si="7"/>
        <v>-0.44</v>
      </c>
      <c r="AH92" s="10">
        <v>31542</v>
      </c>
      <c r="AI92" s="12">
        <f t="shared" si="8"/>
        <v>-15458</v>
      </c>
      <c r="AJ92">
        <f>(AH92-AD92)/AD92</f>
        <v>-0.32889361702127662</v>
      </c>
      <c r="AK92">
        <f>AF92-AJ92</f>
        <v>-0.11185106382978721</v>
      </c>
    </row>
    <row r="93" spans="1:37" x14ac:dyDescent="0.35">
      <c r="A93" s="2">
        <v>92</v>
      </c>
      <c r="B93" s="3" t="s">
        <v>29</v>
      </c>
      <c r="C93" s="3" t="s">
        <v>30</v>
      </c>
      <c r="D93" s="3" t="s">
        <v>115</v>
      </c>
      <c r="E93" s="2">
        <v>1020</v>
      </c>
      <c r="F93" s="2">
        <v>1</v>
      </c>
      <c r="G93" s="4">
        <v>95.05</v>
      </c>
      <c r="H93" s="3" t="s">
        <v>32</v>
      </c>
      <c r="I93" s="2">
        <v>0</v>
      </c>
      <c r="J93" s="4">
        <v>22339</v>
      </c>
      <c r="K93" s="5">
        <v>55.3</v>
      </c>
      <c r="L93" s="4">
        <v>1380</v>
      </c>
      <c r="M93" s="5">
        <v>3.4</v>
      </c>
      <c r="N93" s="4">
        <v>5610</v>
      </c>
      <c r="O93" s="5">
        <v>13.9</v>
      </c>
      <c r="P93" s="4">
        <v>4590</v>
      </c>
      <c r="Q93" s="5">
        <v>11.4</v>
      </c>
      <c r="R93" s="4">
        <v>3264</v>
      </c>
      <c r="S93" s="5">
        <v>8.1</v>
      </c>
      <c r="T93" s="4">
        <v>1350</v>
      </c>
      <c r="U93" s="5">
        <v>3.3</v>
      </c>
      <c r="V93" s="4">
        <v>1100</v>
      </c>
      <c r="W93" s="5">
        <v>2.7</v>
      </c>
      <c r="X93" s="4">
        <v>793</v>
      </c>
      <c r="Y93" s="5">
        <v>2</v>
      </c>
      <c r="Z93" s="4">
        <v>0</v>
      </c>
      <c r="AA93" s="5">
        <v>0</v>
      </c>
      <c r="AB93" s="4">
        <v>39633</v>
      </c>
      <c r="AC93" s="4">
        <v>40426</v>
      </c>
      <c r="AD93">
        <v>47950</v>
      </c>
      <c r="AE93" s="8">
        <f t="shared" si="6"/>
        <v>-7524</v>
      </c>
      <c r="AF93">
        <f t="shared" si="5"/>
        <v>-0.15691345151199165</v>
      </c>
      <c r="AG93">
        <f t="shared" si="7"/>
        <v>-0.16</v>
      </c>
      <c r="AH93" s="10">
        <v>48511</v>
      </c>
      <c r="AI93" s="12">
        <f t="shared" si="8"/>
        <v>561</v>
      </c>
      <c r="AJ93">
        <f>(AH93-AD93)/AD93</f>
        <v>1.1699687174139729E-2</v>
      </c>
      <c r="AK93">
        <f>AF93-AJ93</f>
        <v>-0.16861313868613137</v>
      </c>
    </row>
    <row r="94" spans="1:37" x14ac:dyDescent="0.35">
      <c r="A94" s="2">
        <v>93</v>
      </c>
      <c r="B94" s="3" t="s">
        <v>29</v>
      </c>
      <c r="C94" s="3" t="s">
        <v>30</v>
      </c>
      <c r="D94" s="3" t="s">
        <v>116</v>
      </c>
      <c r="E94" s="2">
        <v>1060</v>
      </c>
      <c r="F94" s="2">
        <v>1</v>
      </c>
      <c r="G94" s="4">
        <v>95.05</v>
      </c>
      <c r="H94" s="3" t="s">
        <v>32</v>
      </c>
      <c r="I94" s="2">
        <v>0</v>
      </c>
      <c r="J94" s="4">
        <v>23215</v>
      </c>
      <c r="K94" s="5">
        <v>55.5</v>
      </c>
      <c r="L94" s="4">
        <v>1380</v>
      </c>
      <c r="M94" s="5">
        <v>3.3</v>
      </c>
      <c r="N94" s="4">
        <v>5830</v>
      </c>
      <c r="O94" s="5">
        <v>13.9</v>
      </c>
      <c r="P94" s="4">
        <v>4770</v>
      </c>
      <c r="Q94" s="5">
        <v>11.4</v>
      </c>
      <c r="R94" s="4">
        <v>3392</v>
      </c>
      <c r="S94" s="5">
        <v>8.1</v>
      </c>
      <c r="T94" s="4">
        <v>1350</v>
      </c>
      <c r="U94" s="5">
        <v>3.2</v>
      </c>
      <c r="V94" s="4">
        <v>1100</v>
      </c>
      <c r="W94" s="5">
        <v>2.6</v>
      </c>
      <c r="X94" s="4">
        <v>821</v>
      </c>
      <c r="Y94" s="5">
        <v>2</v>
      </c>
      <c r="Z94" s="4">
        <v>0</v>
      </c>
      <c r="AA94" s="5">
        <v>0</v>
      </c>
      <c r="AB94" s="4">
        <v>41037</v>
      </c>
      <c r="AC94" s="4">
        <v>41858</v>
      </c>
      <c r="AD94">
        <v>45520</v>
      </c>
      <c r="AE94" s="8">
        <f t="shared" si="6"/>
        <v>-3662</v>
      </c>
      <c r="AF94">
        <f t="shared" si="5"/>
        <v>-8.0448154657293491E-2</v>
      </c>
      <c r="AG94">
        <f t="shared" si="7"/>
        <v>-0.08</v>
      </c>
      <c r="AH94" s="10">
        <v>50230</v>
      </c>
      <c r="AI94" s="12">
        <f t="shared" si="8"/>
        <v>4710</v>
      </c>
      <c r="AJ94">
        <f>(AH94-AD94)/AD94</f>
        <v>0.10347100175746925</v>
      </c>
      <c r="AK94">
        <f>AF94-AJ94</f>
        <v>-0.18391915641476275</v>
      </c>
    </row>
    <row r="95" spans="1:37" x14ac:dyDescent="0.35">
      <c r="A95" s="2">
        <v>94</v>
      </c>
      <c r="B95" s="3" t="s">
        <v>83</v>
      </c>
      <c r="C95" s="3" t="s">
        <v>30</v>
      </c>
      <c r="D95" s="3" t="s">
        <v>117</v>
      </c>
      <c r="E95" s="2">
        <v>2250</v>
      </c>
      <c r="F95" s="2">
        <v>3</v>
      </c>
      <c r="G95" s="4">
        <v>95.05</v>
      </c>
      <c r="H95" s="3" t="s">
        <v>32</v>
      </c>
      <c r="I95" s="2">
        <v>0</v>
      </c>
      <c r="J95" s="4">
        <v>67893</v>
      </c>
      <c r="K95" s="5">
        <v>56.3</v>
      </c>
      <c r="L95" s="4">
        <v>5430</v>
      </c>
      <c r="M95" s="5">
        <v>4.5</v>
      </c>
      <c r="N95" s="4">
        <v>16875</v>
      </c>
      <c r="O95" s="5">
        <v>14</v>
      </c>
      <c r="P95" s="4">
        <v>13500</v>
      </c>
      <c r="Q95" s="5">
        <v>11.2</v>
      </c>
      <c r="R95" s="4">
        <v>9450</v>
      </c>
      <c r="S95" s="5">
        <v>7.8</v>
      </c>
      <c r="T95" s="4">
        <v>2880</v>
      </c>
      <c r="U95" s="5">
        <v>2.4</v>
      </c>
      <c r="V95" s="4">
        <v>1600</v>
      </c>
      <c r="W95" s="5">
        <v>1.3</v>
      </c>
      <c r="X95" s="4">
        <v>2941</v>
      </c>
      <c r="Y95" s="5">
        <v>2.4</v>
      </c>
      <c r="Z95" s="4">
        <v>0</v>
      </c>
      <c r="AA95" s="5">
        <v>0</v>
      </c>
      <c r="AB95" s="4">
        <v>117628</v>
      </c>
      <c r="AC95" s="4">
        <v>120569</v>
      </c>
      <c r="AD95">
        <v>122000</v>
      </c>
      <c r="AE95" s="8">
        <f t="shared" si="6"/>
        <v>-1431</v>
      </c>
      <c r="AF95">
        <f t="shared" si="5"/>
        <v>-1.1729508196721311E-2</v>
      </c>
      <c r="AG95">
        <f t="shared" si="7"/>
        <v>-0.01</v>
      </c>
      <c r="AH95" s="10">
        <v>120569</v>
      </c>
      <c r="AI95" s="12">
        <f t="shared" si="8"/>
        <v>-1431</v>
      </c>
      <c r="AJ95">
        <f>(AH95-AD95)/AD95</f>
        <v>-1.1729508196721311E-2</v>
      </c>
      <c r="AK95">
        <f>AF95-AJ95</f>
        <v>0</v>
      </c>
    </row>
    <row r="96" spans="1:37" x14ac:dyDescent="0.35">
      <c r="A96" s="2">
        <v>95</v>
      </c>
      <c r="B96" s="3" t="s">
        <v>83</v>
      </c>
      <c r="C96" s="3" t="s">
        <v>30</v>
      </c>
      <c r="D96" s="3" t="s">
        <v>118</v>
      </c>
      <c r="E96" s="2">
        <v>2250</v>
      </c>
      <c r="F96" s="2">
        <v>3</v>
      </c>
      <c r="G96" s="4">
        <v>95.05</v>
      </c>
      <c r="H96" s="3" t="s">
        <v>32</v>
      </c>
      <c r="I96" s="2">
        <v>0</v>
      </c>
      <c r="J96" s="4">
        <v>67893</v>
      </c>
      <c r="K96" s="5">
        <v>56.3</v>
      </c>
      <c r="L96" s="4">
        <v>5430</v>
      </c>
      <c r="M96" s="5">
        <v>4.5</v>
      </c>
      <c r="N96" s="4">
        <v>16875</v>
      </c>
      <c r="O96" s="5">
        <v>14</v>
      </c>
      <c r="P96" s="4">
        <v>13500</v>
      </c>
      <c r="Q96" s="5">
        <v>11.2</v>
      </c>
      <c r="R96" s="4">
        <v>9450</v>
      </c>
      <c r="S96" s="5">
        <v>7.8</v>
      </c>
      <c r="T96" s="4">
        <v>2880</v>
      </c>
      <c r="U96" s="5">
        <v>2.4</v>
      </c>
      <c r="V96" s="4">
        <v>1600</v>
      </c>
      <c r="W96" s="5">
        <v>1.3</v>
      </c>
      <c r="X96" s="4">
        <v>2941</v>
      </c>
      <c r="Y96" s="5">
        <v>2.4</v>
      </c>
      <c r="Z96" s="4">
        <v>0</v>
      </c>
      <c r="AA96" s="5">
        <v>0</v>
      </c>
      <c r="AB96" s="4">
        <v>117628</v>
      </c>
      <c r="AC96" s="4">
        <v>120569</v>
      </c>
      <c r="AD96">
        <v>122000</v>
      </c>
      <c r="AE96" s="8">
        <f t="shared" si="6"/>
        <v>-1431</v>
      </c>
      <c r="AF96">
        <f t="shared" si="5"/>
        <v>-1.1729508196721311E-2</v>
      </c>
      <c r="AG96">
        <f t="shared" si="7"/>
        <v>-0.01</v>
      </c>
      <c r="AH96" s="10">
        <v>132626</v>
      </c>
      <c r="AI96" s="12">
        <f t="shared" si="8"/>
        <v>10626</v>
      </c>
      <c r="AJ96">
        <f>(AH96-AD96)/AD96</f>
        <v>8.70983606557377E-2</v>
      </c>
      <c r="AK96">
        <f>AF96-AJ96</f>
        <v>-9.8827868852459005E-2</v>
      </c>
    </row>
    <row r="97" spans="1:37" x14ac:dyDescent="0.35">
      <c r="A97" s="2">
        <v>96</v>
      </c>
      <c r="B97" s="3" t="s">
        <v>81</v>
      </c>
      <c r="C97" s="3" t="s">
        <v>30</v>
      </c>
      <c r="D97" s="3" t="s">
        <v>118</v>
      </c>
      <c r="E97" s="2">
        <v>2250</v>
      </c>
      <c r="F97" s="2">
        <v>3</v>
      </c>
      <c r="G97" s="4">
        <v>95.05</v>
      </c>
      <c r="H97" s="3" t="s">
        <v>32</v>
      </c>
      <c r="I97" s="2">
        <v>0</v>
      </c>
      <c r="J97" s="4">
        <v>71051</v>
      </c>
      <c r="K97" s="5">
        <v>56.7</v>
      </c>
      <c r="L97" s="4">
        <v>5540</v>
      </c>
      <c r="M97" s="5">
        <v>4.4000000000000004</v>
      </c>
      <c r="N97" s="4">
        <v>17325</v>
      </c>
      <c r="O97" s="5">
        <v>13.8</v>
      </c>
      <c r="P97" s="4">
        <v>13500</v>
      </c>
      <c r="Q97" s="5">
        <v>10.8</v>
      </c>
      <c r="R97" s="4">
        <v>9675</v>
      </c>
      <c r="S97" s="5">
        <v>7.7</v>
      </c>
      <c r="T97" s="4">
        <v>3528</v>
      </c>
      <c r="U97" s="5">
        <v>2.8</v>
      </c>
      <c r="V97" s="4">
        <v>1685</v>
      </c>
      <c r="W97" s="5">
        <v>1.3</v>
      </c>
      <c r="X97" s="4">
        <v>3058</v>
      </c>
      <c r="Y97" s="5">
        <v>2.4</v>
      </c>
      <c r="Z97" s="4">
        <v>0</v>
      </c>
      <c r="AA97" s="5">
        <v>0</v>
      </c>
      <c r="AB97" s="4">
        <v>122304</v>
      </c>
      <c r="AC97" s="4">
        <v>125362</v>
      </c>
      <c r="AD97">
        <v>141000</v>
      </c>
      <c r="AE97" s="8">
        <f t="shared" si="6"/>
        <v>-15638</v>
      </c>
      <c r="AF97">
        <f t="shared" si="5"/>
        <v>-0.11090780141843971</v>
      </c>
      <c r="AG97">
        <f t="shared" si="7"/>
        <v>-0.11</v>
      </c>
      <c r="AH97" s="10">
        <v>137898</v>
      </c>
      <c r="AI97" s="12">
        <f t="shared" si="8"/>
        <v>-3102</v>
      </c>
      <c r="AJ97">
        <f>(AH97-AD97)/AD97</f>
        <v>-2.1999999999999999E-2</v>
      </c>
      <c r="AK97">
        <f>AF97-AJ97</f>
        <v>-8.8907801418439708E-2</v>
      </c>
    </row>
    <row r="98" spans="1:37" x14ac:dyDescent="0.35">
      <c r="A98" s="2">
        <v>97</v>
      </c>
      <c r="B98" s="3" t="s">
        <v>95</v>
      </c>
      <c r="C98" s="3" t="s">
        <v>30</v>
      </c>
      <c r="D98" s="3" t="s">
        <v>118</v>
      </c>
      <c r="E98" s="2">
        <v>2250</v>
      </c>
      <c r="F98" s="2">
        <v>3</v>
      </c>
      <c r="G98" s="4">
        <v>95.05</v>
      </c>
      <c r="H98" s="3" t="s">
        <v>32</v>
      </c>
      <c r="I98" s="2">
        <v>0</v>
      </c>
      <c r="J98" s="4">
        <v>71766</v>
      </c>
      <c r="K98" s="5">
        <v>56.1</v>
      </c>
      <c r="L98" s="4">
        <v>5645</v>
      </c>
      <c r="M98" s="5">
        <v>4.4000000000000004</v>
      </c>
      <c r="N98" s="4">
        <v>17775</v>
      </c>
      <c r="O98" s="5">
        <v>13.9</v>
      </c>
      <c r="P98" s="4">
        <v>13500</v>
      </c>
      <c r="Q98" s="5">
        <v>10.6</v>
      </c>
      <c r="R98" s="4">
        <v>10013</v>
      </c>
      <c r="S98" s="5">
        <v>7.8</v>
      </c>
      <c r="T98" s="4">
        <v>4248</v>
      </c>
      <c r="U98" s="5">
        <v>3.3</v>
      </c>
      <c r="V98" s="4">
        <v>1770</v>
      </c>
      <c r="W98" s="5">
        <v>1.4</v>
      </c>
      <c r="X98" s="4">
        <v>3118</v>
      </c>
      <c r="Y98" s="5">
        <v>2.4</v>
      </c>
      <c r="Z98" s="4">
        <v>0</v>
      </c>
      <c r="AA98" s="5">
        <v>0</v>
      </c>
      <c r="AB98" s="4">
        <v>124717</v>
      </c>
      <c r="AC98" s="4">
        <v>127835</v>
      </c>
      <c r="AD98">
        <v>147500</v>
      </c>
      <c r="AE98" s="8">
        <f t="shared" si="6"/>
        <v>-19665</v>
      </c>
      <c r="AF98">
        <f t="shared" ref="AF98:AF129" si="9">AE98/AD98</f>
        <v>-0.13332203389830508</v>
      </c>
      <c r="AG98">
        <f t="shared" si="7"/>
        <v>-0.13</v>
      </c>
      <c r="AH98" s="10">
        <v>140619</v>
      </c>
      <c r="AI98" s="12">
        <f t="shared" si="8"/>
        <v>-6881</v>
      </c>
      <c r="AJ98">
        <f>(AH98-AD98)/AD98</f>
        <v>-4.6650847457627119E-2</v>
      </c>
      <c r="AK98">
        <f>AF98-AJ98</f>
        <v>-8.667118644067795E-2</v>
      </c>
    </row>
    <row r="99" spans="1:37" x14ac:dyDescent="0.35">
      <c r="A99" s="2">
        <v>98</v>
      </c>
      <c r="B99" s="3" t="s">
        <v>119</v>
      </c>
      <c r="C99" s="3" t="s">
        <v>30</v>
      </c>
      <c r="D99" s="3" t="s">
        <v>118</v>
      </c>
      <c r="E99" s="2">
        <v>2250</v>
      </c>
      <c r="F99" s="2">
        <v>3</v>
      </c>
      <c r="G99" s="4">
        <v>95.05</v>
      </c>
      <c r="H99" s="3" t="s">
        <v>32</v>
      </c>
      <c r="I99" s="2">
        <v>0</v>
      </c>
      <c r="J99" s="4">
        <v>88373</v>
      </c>
      <c r="K99" s="5">
        <v>54.9</v>
      </c>
      <c r="L99" s="4">
        <v>7150</v>
      </c>
      <c r="M99" s="5">
        <v>4.4000000000000004</v>
      </c>
      <c r="N99" s="4">
        <v>22500</v>
      </c>
      <c r="O99" s="5">
        <v>14</v>
      </c>
      <c r="P99" s="4">
        <v>16875</v>
      </c>
      <c r="Q99" s="5">
        <v>10.5</v>
      </c>
      <c r="R99" s="4">
        <v>13500</v>
      </c>
      <c r="S99" s="5">
        <v>8.4</v>
      </c>
      <c r="T99" s="4">
        <v>5400</v>
      </c>
      <c r="U99" s="5">
        <v>3.4</v>
      </c>
      <c r="V99" s="4">
        <v>2500</v>
      </c>
      <c r="W99" s="5">
        <v>1.6</v>
      </c>
      <c r="X99" s="4">
        <v>4689</v>
      </c>
      <c r="Y99" s="5">
        <v>2.9</v>
      </c>
      <c r="Z99" s="4">
        <v>0</v>
      </c>
      <c r="AA99" s="5">
        <v>0</v>
      </c>
      <c r="AB99" s="4">
        <v>156298</v>
      </c>
      <c r="AC99" s="4">
        <v>160987</v>
      </c>
      <c r="AD99">
        <v>169000</v>
      </c>
      <c r="AE99" s="8">
        <f t="shared" si="6"/>
        <v>-8013</v>
      </c>
      <c r="AF99">
        <f t="shared" si="9"/>
        <v>-4.7414201183431953E-2</v>
      </c>
      <c r="AG99">
        <f t="shared" si="7"/>
        <v>-0.05</v>
      </c>
      <c r="AH99" s="10">
        <v>177086</v>
      </c>
      <c r="AI99" s="12">
        <f t="shared" si="8"/>
        <v>8086</v>
      </c>
      <c r="AJ99">
        <f>(AH99-AD99)/AD99</f>
        <v>4.7846153846153844E-2</v>
      </c>
      <c r="AK99">
        <f>AF99-AJ99</f>
        <v>-9.5260355029585797E-2</v>
      </c>
    </row>
    <row r="100" spans="1:37" x14ac:dyDescent="0.35">
      <c r="A100" s="2">
        <v>99</v>
      </c>
      <c r="B100" s="3" t="s">
        <v>92</v>
      </c>
      <c r="C100" s="3" t="s">
        <v>30</v>
      </c>
      <c r="D100" s="3" t="s">
        <v>118</v>
      </c>
      <c r="E100" s="2">
        <v>2250</v>
      </c>
      <c r="F100" s="2">
        <v>3</v>
      </c>
      <c r="G100" s="4">
        <v>95.05</v>
      </c>
      <c r="H100" s="3" t="s">
        <v>32</v>
      </c>
      <c r="I100" s="2">
        <v>0</v>
      </c>
      <c r="J100" s="4">
        <v>105351</v>
      </c>
      <c r="K100" s="5">
        <v>55.2</v>
      </c>
      <c r="L100" s="4">
        <v>8630</v>
      </c>
      <c r="M100" s="5">
        <v>4.5</v>
      </c>
      <c r="N100" s="4">
        <v>25875</v>
      </c>
      <c r="O100" s="5">
        <v>13.6</v>
      </c>
      <c r="P100" s="4">
        <v>20250</v>
      </c>
      <c r="Q100" s="5">
        <v>10.6</v>
      </c>
      <c r="R100" s="4">
        <v>16200</v>
      </c>
      <c r="S100" s="5">
        <v>8.5</v>
      </c>
      <c r="T100" s="4">
        <v>6150</v>
      </c>
      <c r="U100" s="5">
        <v>3.2</v>
      </c>
      <c r="V100" s="4">
        <v>2800</v>
      </c>
      <c r="W100" s="5">
        <v>1.5</v>
      </c>
      <c r="X100" s="4">
        <v>5558</v>
      </c>
      <c r="Y100" s="5">
        <v>2.9</v>
      </c>
      <c r="Z100" s="4">
        <v>0</v>
      </c>
      <c r="AA100" s="5">
        <v>0</v>
      </c>
      <c r="AB100" s="4">
        <v>185256</v>
      </c>
      <c r="AC100" s="4">
        <v>190814</v>
      </c>
      <c r="AD100">
        <v>170000</v>
      </c>
      <c r="AE100" s="8">
        <f t="shared" si="6"/>
        <v>20814</v>
      </c>
      <c r="AF100">
        <f t="shared" si="9"/>
        <v>0.12243529411764706</v>
      </c>
      <c r="AG100">
        <f t="shared" si="7"/>
        <v>0.12</v>
      </c>
      <c r="AH100" s="10">
        <v>209895</v>
      </c>
      <c r="AI100" s="12">
        <f t="shared" si="8"/>
        <v>39895</v>
      </c>
      <c r="AJ100">
        <f>(AH100-AD100)/AD100</f>
        <v>0.23467647058823529</v>
      </c>
      <c r="AK100">
        <f>AF100-AJ100</f>
        <v>-0.11224117647058823</v>
      </c>
    </row>
    <row r="101" spans="1:37" x14ac:dyDescent="0.35">
      <c r="A101" s="2">
        <v>100</v>
      </c>
      <c r="B101" s="3" t="s">
        <v>29</v>
      </c>
      <c r="C101" s="3" t="s">
        <v>30</v>
      </c>
      <c r="D101" s="3" t="s">
        <v>120</v>
      </c>
      <c r="E101" s="2">
        <v>1380</v>
      </c>
      <c r="F101" s="2">
        <v>2</v>
      </c>
      <c r="G101" s="4">
        <v>95.05</v>
      </c>
      <c r="H101" s="3" t="s">
        <v>32</v>
      </c>
      <c r="I101" s="2">
        <v>0</v>
      </c>
      <c r="J101" s="4">
        <v>30223</v>
      </c>
      <c r="K101" s="5">
        <v>55.1</v>
      </c>
      <c r="L101" s="4">
        <v>2930</v>
      </c>
      <c r="M101" s="5">
        <v>5.3</v>
      </c>
      <c r="N101" s="4">
        <v>7590</v>
      </c>
      <c r="O101" s="5">
        <v>13.8</v>
      </c>
      <c r="P101" s="4">
        <v>6210</v>
      </c>
      <c r="Q101" s="5">
        <v>11.3</v>
      </c>
      <c r="R101" s="4">
        <v>4416</v>
      </c>
      <c r="S101" s="5">
        <v>8</v>
      </c>
      <c r="T101" s="4">
        <v>1350</v>
      </c>
      <c r="U101" s="5">
        <v>2.5</v>
      </c>
      <c r="V101" s="4">
        <v>1100</v>
      </c>
      <c r="W101" s="5">
        <v>2</v>
      </c>
      <c r="X101" s="4">
        <v>1076</v>
      </c>
      <c r="Y101" s="5">
        <v>2</v>
      </c>
      <c r="Z101" s="4">
        <v>0</v>
      </c>
      <c r="AA101" s="5">
        <v>0</v>
      </c>
      <c r="AB101" s="4">
        <v>53819</v>
      </c>
      <c r="AC101" s="4">
        <v>54895</v>
      </c>
      <c r="AD101">
        <v>40500</v>
      </c>
      <c r="AE101" s="8">
        <f t="shared" si="6"/>
        <v>14395</v>
      </c>
      <c r="AF101">
        <f t="shared" si="9"/>
        <v>0.35543209876543208</v>
      </c>
      <c r="AG101">
        <f t="shared" si="7"/>
        <v>0.36</v>
      </c>
      <c r="AH101" s="10">
        <v>54895</v>
      </c>
      <c r="AI101" s="12">
        <f t="shared" si="8"/>
        <v>14395</v>
      </c>
      <c r="AJ101">
        <f>(AH101-AD101)/AD101</f>
        <v>0.35543209876543208</v>
      </c>
      <c r="AK101">
        <f>AF101-AJ101</f>
        <v>0</v>
      </c>
    </row>
    <row r="102" spans="1:37" x14ac:dyDescent="0.35">
      <c r="A102" s="2">
        <v>101</v>
      </c>
      <c r="B102" s="3" t="s">
        <v>33</v>
      </c>
      <c r="C102" s="3" t="s">
        <v>30</v>
      </c>
      <c r="D102" s="3" t="s">
        <v>121</v>
      </c>
      <c r="E102" s="2">
        <v>1390</v>
      </c>
      <c r="F102" s="2">
        <v>2</v>
      </c>
      <c r="G102" s="4">
        <v>95.05</v>
      </c>
      <c r="H102" s="3" t="s">
        <v>32</v>
      </c>
      <c r="I102" s="2">
        <v>0</v>
      </c>
      <c r="J102" s="4">
        <v>19868</v>
      </c>
      <c r="K102" s="5">
        <v>55.1</v>
      </c>
      <c r="L102" s="4">
        <v>2200</v>
      </c>
      <c r="M102" s="5">
        <v>6.1</v>
      </c>
      <c r="N102" s="4">
        <v>5004</v>
      </c>
      <c r="O102" s="5">
        <v>13.9</v>
      </c>
      <c r="P102" s="4">
        <v>3475</v>
      </c>
      <c r="Q102" s="5">
        <v>9.6</v>
      </c>
      <c r="R102" s="4">
        <v>3197</v>
      </c>
      <c r="S102" s="5">
        <v>8.9</v>
      </c>
      <c r="T102" s="4">
        <v>863</v>
      </c>
      <c r="U102" s="5">
        <v>2.4</v>
      </c>
      <c r="V102" s="4">
        <v>760</v>
      </c>
      <c r="W102" s="5">
        <v>2.1</v>
      </c>
      <c r="X102" s="4">
        <v>707</v>
      </c>
      <c r="Y102" s="5">
        <v>2</v>
      </c>
      <c r="Z102" s="4">
        <v>0</v>
      </c>
      <c r="AA102" s="5">
        <v>0</v>
      </c>
      <c r="AB102" s="4">
        <v>35367</v>
      </c>
      <c r="AC102" s="4">
        <v>36074</v>
      </c>
      <c r="AD102">
        <v>37500</v>
      </c>
      <c r="AE102" s="8">
        <f t="shared" si="6"/>
        <v>-1426</v>
      </c>
      <c r="AF102">
        <f t="shared" si="9"/>
        <v>-3.8026666666666667E-2</v>
      </c>
      <c r="AG102">
        <f t="shared" si="7"/>
        <v>-0.04</v>
      </c>
      <c r="AH102" s="10">
        <v>36074</v>
      </c>
      <c r="AI102" s="12">
        <f t="shared" si="8"/>
        <v>-1426</v>
      </c>
      <c r="AJ102">
        <f>(AH102-AD102)/AD102</f>
        <v>-3.8026666666666667E-2</v>
      </c>
      <c r="AK102">
        <f>AF102-AJ102</f>
        <v>0</v>
      </c>
    </row>
    <row r="103" spans="1:37" x14ac:dyDescent="0.35">
      <c r="A103" s="2">
        <v>102</v>
      </c>
      <c r="B103" s="3" t="s">
        <v>33</v>
      </c>
      <c r="C103" s="3" t="s">
        <v>30</v>
      </c>
      <c r="D103" s="3" t="s">
        <v>122</v>
      </c>
      <c r="E103" s="2">
        <v>1390</v>
      </c>
      <c r="F103" s="2">
        <v>2</v>
      </c>
      <c r="G103" s="4">
        <v>95.05</v>
      </c>
      <c r="H103" s="3" t="s">
        <v>32</v>
      </c>
      <c r="I103" s="2">
        <v>0</v>
      </c>
      <c r="J103" s="4">
        <v>19868</v>
      </c>
      <c r="K103" s="5">
        <v>55.1</v>
      </c>
      <c r="L103" s="4">
        <v>2200</v>
      </c>
      <c r="M103" s="5">
        <v>6.1</v>
      </c>
      <c r="N103" s="4">
        <v>5004</v>
      </c>
      <c r="O103" s="5">
        <v>13.9</v>
      </c>
      <c r="P103" s="4">
        <v>3475</v>
      </c>
      <c r="Q103" s="5">
        <v>9.6</v>
      </c>
      <c r="R103" s="4">
        <v>3197</v>
      </c>
      <c r="S103" s="5">
        <v>8.9</v>
      </c>
      <c r="T103" s="4">
        <v>863</v>
      </c>
      <c r="U103" s="5">
        <v>2.4</v>
      </c>
      <c r="V103" s="4">
        <v>760</v>
      </c>
      <c r="W103" s="5">
        <v>2.1</v>
      </c>
      <c r="X103" s="4">
        <v>707</v>
      </c>
      <c r="Y103" s="5">
        <v>2</v>
      </c>
      <c r="Z103" s="4">
        <v>0</v>
      </c>
      <c r="AA103" s="5">
        <v>0</v>
      </c>
      <c r="AB103" s="4">
        <v>35367</v>
      </c>
      <c r="AC103" s="4">
        <v>36074</v>
      </c>
      <c r="AD103">
        <v>33000</v>
      </c>
      <c r="AE103" s="8">
        <f t="shared" si="6"/>
        <v>3074</v>
      </c>
      <c r="AF103">
        <f t="shared" si="9"/>
        <v>9.3151515151515152E-2</v>
      </c>
      <c r="AG103">
        <f t="shared" si="7"/>
        <v>0.09</v>
      </c>
      <c r="AH103" s="10">
        <v>36074</v>
      </c>
      <c r="AI103" s="12">
        <f t="shared" si="8"/>
        <v>3074</v>
      </c>
      <c r="AJ103">
        <f>(AH103-AD103)/AD103</f>
        <v>9.3151515151515152E-2</v>
      </c>
      <c r="AK103">
        <f>AF103-AJ103</f>
        <v>0</v>
      </c>
    </row>
    <row r="104" spans="1:37" x14ac:dyDescent="0.35">
      <c r="A104" s="2">
        <v>103</v>
      </c>
      <c r="B104" s="3" t="s">
        <v>29</v>
      </c>
      <c r="C104" s="3" t="s">
        <v>30</v>
      </c>
      <c r="D104" s="3" t="s">
        <v>122</v>
      </c>
      <c r="E104" s="2">
        <v>1390</v>
      </c>
      <c r="F104" s="2">
        <v>2</v>
      </c>
      <c r="G104" s="4">
        <v>95.05</v>
      </c>
      <c r="H104" s="3" t="s">
        <v>32</v>
      </c>
      <c r="I104" s="2">
        <v>0</v>
      </c>
      <c r="J104" s="4">
        <v>30442</v>
      </c>
      <c r="K104" s="5">
        <v>55.1</v>
      </c>
      <c r="L104" s="4">
        <v>2930</v>
      </c>
      <c r="M104" s="5">
        <v>5.3</v>
      </c>
      <c r="N104" s="4">
        <v>7645</v>
      </c>
      <c r="O104" s="5">
        <v>13.8</v>
      </c>
      <c r="P104" s="4">
        <v>6255</v>
      </c>
      <c r="Q104" s="5">
        <v>11.3</v>
      </c>
      <c r="R104" s="4">
        <v>4448</v>
      </c>
      <c r="S104" s="5">
        <v>8.1</v>
      </c>
      <c r="T104" s="4">
        <v>1350</v>
      </c>
      <c r="U104" s="5">
        <v>2.4</v>
      </c>
      <c r="V104" s="4">
        <v>1100</v>
      </c>
      <c r="W104" s="5">
        <v>2</v>
      </c>
      <c r="X104" s="4">
        <v>1083</v>
      </c>
      <c r="Y104" s="5">
        <v>2</v>
      </c>
      <c r="Z104" s="4">
        <v>0</v>
      </c>
      <c r="AA104" s="5">
        <v>0</v>
      </c>
      <c r="AB104" s="4">
        <v>54170</v>
      </c>
      <c r="AC104" s="4">
        <v>55253</v>
      </c>
      <c r="AD104">
        <v>37500</v>
      </c>
      <c r="AE104" s="8">
        <f t="shared" si="6"/>
        <v>17753</v>
      </c>
      <c r="AF104">
        <f t="shared" si="9"/>
        <v>0.47341333333333335</v>
      </c>
      <c r="AG104">
        <f t="shared" si="7"/>
        <v>0.47</v>
      </c>
      <c r="AH104" s="10">
        <v>55253</v>
      </c>
      <c r="AI104" s="12">
        <f t="shared" si="8"/>
        <v>17753</v>
      </c>
      <c r="AJ104">
        <f>(AH104-AD104)/AD104</f>
        <v>0.47341333333333335</v>
      </c>
      <c r="AK104">
        <f>AF104-AJ104</f>
        <v>0</v>
      </c>
    </row>
    <row r="105" spans="1:37" x14ac:dyDescent="0.35">
      <c r="A105" s="2">
        <v>104</v>
      </c>
      <c r="B105" s="3" t="s">
        <v>29</v>
      </c>
      <c r="C105" s="3" t="s">
        <v>30</v>
      </c>
      <c r="D105" s="3" t="s">
        <v>123</v>
      </c>
      <c r="E105" s="2">
        <v>1380</v>
      </c>
      <c r="F105" s="2">
        <v>2</v>
      </c>
      <c r="G105" s="4">
        <v>95.05</v>
      </c>
      <c r="H105" s="3" t="s">
        <v>32</v>
      </c>
      <c r="I105" s="2">
        <v>0</v>
      </c>
      <c r="J105" s="4">
        <v>30223</v>
      </c>
      <c r="K105" s="5">
        <v>55.1</v>
      </c>
      <c r="L105" s="4">
        <v>2930</v>
      </c>
      <c r="M105" s="5">
        <v>5.3</v>
      </c>
      <c r="N105" s="4">
        <v>7590</v>
      </c>
      <c r="O105" s="5">
        <v>13.8</v>
      </c>
      <c r="P105" s="4">
        <v>6210</v>
      </c>
      <c r="Q105" s="5">
        <v>11.3</v>
      </c>
      <c r="R105" s="4">
        <v>4416</v>
      </c>
      <c r="S105" s="5">
        <v>8</v>
      </c>
      <c r="T105" s="4">
        <v>1350</v>
      </c>
      <c r="U105" s="5">
        <v>2.5</v>
      </c>
      <c r="V105" s="4">
        <v>1100</v>
      </c>
      <c r="W105" s="5">
        <v>2</v>
      </c>
      <c r="X105" s="4">
        <v>1076</v>
      </c>
      <c r="Y105" s="5">
        <v>2</v>
      </c>
      <c r="Z105" s="4">
        <v>0</v>
      </c>
      <c r="AA105" s="5">
        <v>0</v>
      </c>
      <c r="AB105" s="4">
        <v>53819</v>
      </c>
      <c r="AC105" s="4">
        <v>54895</v>
      </c>
      <c r="AD105">
        <v>42350</v>
      </c>
      <c r="AE105" s="8">
        <f t="shared" si="6"/>
        <v>12545</v>
      </c>
      <c r="AF105">
        <f t="shared" si="9"/>
        <v>0.2962219598583235</v>
      </c>
      <c r="AG105">
        <f t="shared" si="7"/>
        <v>0.3</v>
      </c>
      <c r="AH105" s="10">
        <v>54895</v>
      </c>
      <c r="AI105" s="12">
        <f t="shared" si="8"/>
        <v>12545</v>
      </c>
      <c r="AJ105">
        <f>(AH105-AD105)/AD105</f>
        <v>0.2962219598583235</v>
      </c>
      <c r="AK105">
        <f>AF105-AJ105</f>
        <v>0</v>
      </c>
    </row>
    <row r="106" spans="1:37" x14ac:dyDescent="0.35">
      <c r="A106" s="2">
        <v>105</v>
      </c>
      <c r="B106" s="3" t="s">
        <v>33</v>
      </c>
      <c r="C106" s="3" t="s">
        <v>30</v>
      </c>
      <c r="D106" s="3" t="s">
        <v>124</v>
      </c>
      <c r="E106" s="2">
        <v>1380</v>
      </c>
      <c r="F106" s="2">
        <v>2</v>
      </c>
      <c r="G106" s="4">
        <v>95.05</v>
      </c>
      <c r="H106" s="3" t="s">
        <v>32</v>
      </c>
      <c r="I106" s="2">
        <v>0</v>
      </c>
      <c r="J106" s="4">
        <v>19725</v>
      </c>
      <c r="K106" s="5">
        <v>55</v>
      </c>
      <c r="L106" s="4">
        <v>2200</v>
      </c>
      <c r="M106" s="5">
        <v>6.1</v>
      </c>
      <c r="N106" s="4">
        <v>4968</v>
      </c>
      <c r="O106" s="5">
        <v>13.9</v>
      </c>
      <c r="P106" s="4">
        <v>3450</v>
      </c>
      <c r="Q106" s="5">
        <v>9.6</v>
      </c>
      <c r="R106" s="4">
        <v>3174</v>
      </c>
      <c r="S106" s="5">
        <v>8.9</v>
      </c>
      <c r="T106" s="4">
        <v>863</v>
      </c>
      <c r="U106" s="5">
        <v>2.4</v>
      </c>
      <c r="V106" s="4">
        <v>760</v>
      </c>
      <c r="W106" s="5">
        <v>2.1</v>
      </c>
      <c r="X106" s="4">
        <v>703</v>
      </c>
      <c r="Y106" s="5">
        <v>2</v>
      </c>
      <c r="Z106" s="4">
        <v>0</v>
      </c>
      <c r="AA106" s="5">
        <v>0</v>
      </c>
      <c r="AB106" s="4">
        <v>35140</v>
      </c>
      <c r="AC106" s="4">
        <v>35843</v>
      </c>
      <c r="AD106">
        <v>33000</v>
      </c>
      <c r="AE106" s="8">
        <f t="shared" si="6"/>
        <v>2843</v>
      </c>
      <c r="AF106">
        <f t="shared" si="9"/>
        <v>8.6151515151515146E-2</v>
      </c>
      <c r="AG106">
        <f t="shared" si="7"/>
        <v>0.09</v>
      </c>
      <c r="AH106" s="10">
        <v>35843</v>
      </c>
      <c r="AI106" s="12">
        <f t="shared" si="8"/>
        <v>2843</v>
      </c>
      <c r="AJ106">
        <f>(AH106-AD106)/AD106</f>
        <v>8.6151515151515146E-2</v>
      </c>
      <c r="AK106">
        <f>AF106-AJ106</f>
        <v>0</v>
      </c>
    </row>
    <row r="107" spans="1:37" x14ac:dyDescent="0.35">
      <c r="A107" s="2">
        <v>106</v>
      </c>
      <c r="B107" s="3" t="s">
        <v>29</v>
      </c>
      <c r="C107" s="3" t="s">
        <v>30</v>
      </c>
      <c r="D107" s="3" t="s">
        <v>124</v>
      </c>
      <c r="E107" s="2">
        <v>1380</v>
      </c>
      <c r="F107" s="2">
        <v>2</v>
      </c>
      <c r="G107" s="4">
        <v>95.05</v>
      </c>
      <c r="H107" s="3" t="s">
        <v>32</v>
      </c>
      <c r="I107" s="2">
        <v>0</v>
      </c>
      <c r="J107" s="4">
        <v>30223</v>
      </c>
      <c r="K107" s="5">
        <v>55.1</v>
      </c>
      <c r="L107" s="4">
        <v>2930</v>
      </c>
      <c r="M107" s="5">
        <v>5.3</v>
      </c>
      <c r="N107" s="4">
        <v>7590</v>
      </c>
      <c r="O107" s="5">
        <v>13.8</v>
      </c>
      <c r="P107" s="4">
        <v>6210</v>
      </c>
      <c r="Q107" s="5">
        <v>11.3</v>
      </c>
      <c r="R107" s="4">
        <v>4416</v>
      </c>
      <c r="S107" s="5">
        <v>8</v>
      </c>
      <c r="T107" s="4">
        <v>1350</v>
      </c>
      <c r="U107" s="5">
        <v>2.5</v>
      </c>
      <c r="V107" s="4">
        <v>1100</v>
      </c>
      <c r="W107" s="5">
        <v>2</v>
      </c>
      <c r="X107" s="4">
        <v>1076</v>
      </c>
      <c r="Y107" s="5">
        <v>2</v>
      </c>
      <c r="Z107" s="4">
        <v>0</v>
      </c>
      <c r="AA107" s="5">
        <v>0</v>
      </c>
      <c r="AB107" s="4">
        <v>53819</v>
      </c>
      <c r="AC107" s="4">
        <v>54895</v>
      </c>
      <c r="AD107">
        <v>37500</v>
      </c>
      <c r="AE107" s="8">
        <f t="shared" si="6"/>
        <v>17395</v>
      </c>
      <c r="AF107">
        <f t="shared" si="9"/>
        <v>0.46386666666666665</v>
      </c>
      <c r="AG107">
        <f t="shared" si="7"/>
        <v>0.46</v>
      </c>
      <c r="AH107" s="10">
        <v>54895</v>
      </c>
      <c r="AI107" s="12">
        <f t="shared" si="8"/>
        <v>17395</v>
      </c>
      <c r="AJ107">
        <f>(AH107-AD107)/AD107</f>
        <v>0.46386666666666665</v>
      </c>
      <c r="AK107">
        <f>AF107-AJ107</f>
        <v>0</v>
      </c>
    </row>
    <row r="108" spans="1:37" x14ac:dyDescent="0.35">
      <c r="A108" s="2">
        <v>107</v>
      </c>
      <c r="B108" s="3" t="s">
        <v>33</v>
      </c>
      <c r="C108" s="3" t="s">
        <v>30</v>
      </c>
      <c r="D108" s="3" t="s">
        <v>125</v>
      </c>
      <c r="E108" s="2">
        <v>1370</v>
      </c>
      <c r="F108" s="2">
        <v>2</v>
      </c>
      <c r="G108" s="4">
        <v>95.05</v>
      </c>
      <c r="H108" s="3" t="s">
        <v>32</v>
      </c>
      <c r="I108" s="2">
        <v>0</v>
      </c>
      <c r="J108" s="4">
        <v>19582</v>
      </c>
      <c r="K108" s="5">
        <v>55</v>
      </c>
      <c r="L108" s="4">
        <v>2200</v>
      </c>
      <c r="M108" s="5">
        <v>6.2</v>
      </c>
      <c r="N108" s="4">
        <v>4932</v>
      </c>
      <c r="O108" s="5">
        <v>13.8</v>
      </c>
      <c r="P108" s="4">
        <v>3425</v>
      </c>
      <c r="Q108" s="5">
        <v>9.6</v>
      </c>
      <c r="R108" s="4">
        <v>3151</v>
      </c>
      <c r="S108" s="5">
        <v>8.8000000000000007</v>
      </c>
      <c r="T108" s="4">
        <v>863</v>
      </c>
      <c r="U108" s="5">
        <v>2.4</v>
      </c>
      <c r="V108" s="4">
        <v>760</v>
      </c>
      <c r="W108" s="5">
        <v>2.1</v>
      </c>
      <c r="X108" s="4">
        <v>698</v>
      </c>
      <c r="Y108" s="5">
        <v>2</v>
      </c>
      <c r="Z108" s="4">
        <v>0</v>
      </c>
      <c r="AA108" s="5">
        <v>0</v>
      </c>
      <c r="AB108" s="4">
        <v>34913</v>
      </c>
      <c r="AC108" s="4">
        <v>35611</v>
      </c>
      <c r="AD108">
        <v>33000</v>
      </c>
      <c r="AE108" s="8">
        <f t="shared" si="6"/>
        <v>2611</v>
      </c>
      <c r="AF108">
        <f t="shared" si="9"/>
        <v>7.912121212121212E-2</v>
      </c>
      <c r="AG108">
        <f t="shared" si="7"/>
        <v>0.08</v>
      </c>
      <c r="AH108" s="10">
        <v>35611</v>
      </c>
      <c r="AI108" s="12">
        <f t="shared" si="8"/>
        <v>2611</v>
      </c>
      <c r="AJ108">
        <f>(AH108-AD108)/AD108</f>
        <v>7.912121212121212E-2</v>
      </c>
      <c r="AK108">
        <f>AF108-AJ108</f>
        <v>0</v>
      </c>
    </row>
    <row r="109" spans="1:37" x14ac:dyDescent="0.35">
      <c r="A109" s="2">
        <v>108</v>
      </c>
      <c r="B109" s="3" t="s">
        <v>29</v>
      </c>
      <c r="C109" s="3" t="s">
        <v>30</v>
      </c>
      <c r="D109" s="3" t="s">
        <v>125</v>
      </c>
      <c r="E109" s="2">
        <v>1370</v>
      </c>
      <c r="F109" s="2">
        <v>2</v>
      </c>
      <c r="G109" s="4">
        <v>95.05</v>
      </c>
      <c r="H109" s="3" t="s">
        <v>32</v>
      </c>
      <c r="I109" s="2">
        <v>0</v>
      </c>
      <c r="J109" s="4">
        <v>30004</v>
      </c>
      <c r="K109" s="5">
        <v>55</v>
      </c>
      <c r="L109" s="4">
        <v>2930</v>
      </c>
      <c r="M109" s="5">
        <v>5.4</v>
      </c>
      <c r="N109" s="4">
        <v>7535</v>
      </c>
      <c r="O109" s="5">
        <v>13.8</v>
      </c>
      <c r="P109" s="4">
        <v>6165</v>
      </c>
      <c r="Q109" s="5">
        <v>11.3</v>
      </c>
      <c r="R109" s="4">
        <v>4384</v>
      </c>
      <c r="S109" s="5">
        <v>8</v>
      </c>
      <c r="T109" s="4">
        <v>1350</v>
      </c>
      <c r="U109" s="5">
        <v>2.5</v>
      </c>
      <c r="V109" s="4">
        <v>1100</v>
      </c>
      <c r="W109" s="5">
        <v>2</v>
      </c>
      <c r="X109" s="4">
        <v>1069</v>
      </c>
      <c r="Y109" s="5">
        <v>2</v>
      </c>
      <c r="Z109" s="4">
        <v>0</v>
      </c>
      <c r="AA109" s="5">
        <v>0</v>
      </c>
      <c r="AB109" s="4">
        <v>53468</v>
      </c>
      <c r="AC109" s="4">
        <v>54537</v>
      </c>
      <c r="AD109">
        <v>37500</v>
      </c>
      <c r="AE109" s="8">
        <f t="shared" si="6"/>
        <v>17037</v>
      </c>
      <c r="AF109">
        <f t="shared" si="9"/>
        <v>0.45432</v>
      </c>
      <c r="AG109">
        <f t="shared" si="7"/>
        <v>0.45</v>
      </c>
      <c r="AH109" s="10">
        <v>54537</v>
      </c>
      <c r="AI109" s="12">
        <f t="shared" si="8"/>
        <v>17037</v>
      </c>
      <c r="AJ109">
        <f>(AH109-AD109)/AD109</f>
        <v>0.45432</v>
      </c>
      <c r="AK109">
        <f>AF109-AJ109</f>
        <v>0</v>
      </c>
    </row>
    <row r="110" spans="1:37" x14ac:dyDescent="0.35">
      <c r="A110" s="2">
        <v>109</v>
      </c>
      <c r="B110" s="3" t="s">
        <v>29</v>
      </c>
      <c r="C110" s="3" t="s">
        <v>30</v>
      </c>
      <c r="D110" s="3" t="s">
        <v>126</v>
      </c>
      <c r="E110" s="2">
        <v>1270</v>
      </c>
      <c r="F110" s="2">
        <v>2</v>
      </c>
      <c r="G110" s="4">
        <v>95.05</v>
      </c>
      <c r="H110" s="3" t="s">
        <v>32</v>
      </c>
      <c r="I110" s="2">
        <v>0</v>
      </c>
      <c r="J110" s="4">
        <v>27814</v>
      </c>
      <c r="K110" s="5">
        <v>54.6</v>
      </c>
      <c r="L110" s="4">
        <v>2930</v>
      </c>
      <c r="M110" s="5">
        <v>5.7</v>
      </c>
      <c r="N110" s="4">
        <v>6985</v>
      </c>
      <c r="O110" s="5">
        <v>13.7</v>
      </c>
      <c r="P110" s="4">
        <v>5715</v>
      </c>
      <c r="Q110" s="5">
        <v>11.2</v>
      </c>
      <c r="R110" s="4">
        <v>4064</v>
      </c>
      <c r="S110" s="5">
        <v>8</v>
      </c>
      <c r="T110" s="4">
        <v>1350</v>
      </c>
      <c r="U110" s="5">
        <v>2.6</v>
      </c>
      <c r="V110" s="4">
        <v>1100</v>
      </c>
      <c r="W110" s="5">
        <v>2.2000000000000002</v>
      </c>
      <c r="X110" s="4">
        <v>999</v>
      </c>
      <c r="Y110" s="5">
        <v>2</v>
      </c>
      <c r="Z110" s="4">
        <v>0</v>
      </c>
      <c r="AA110" s="5">
        <v>0</v>
      </c>
      <c r="AB110" s="4">
        <v>49958</v>
      </c>
      <c r="AC110" s="4">
        <v>50957</v>
      </c>
      <c r="AD110">
        <v>39000</v>
      </c>
      <c r="AE110" s="8">
        <f t="shared" si="6"/>
        <v>11957</v>
      </c>
      <c r="AF110">
        <f t="shared" si="9"/>
        <v>0.30658974358974361</v>
      </c>
      <c r="AG110">
        <f t="shared" si="7"/>
        <v>0.31</v>
      </c>
      <c r="AH110" s="10">
        <v>50957</v>
      </c>
      <c r="AI110" s="12">
        <f t="shared" si="8"/>
        <v>11957</v>
      </c>
      <c r="AJ110">
        <f>(AH110-AD110)/AD110</f>
        <v>0.30658974358974361</v>
      </c>
      <c r="AK110">
        <f>AF110-AJ110</f>
        <v>0</v>
      </c>
    </row>
    <row r="111" spans="1:37" x14ac:dyDescent="0.35">
      <c r="A111" s="2">
        <v>110</v>
      </c>
      <c r="B111" s="3" t="s">
        <v>29</v>
      </c>
      <c r="C111" s="3" t="s">
        <v>30</v>
      </c>
      <c r="D111" s="3" t="s">
        <v>127</v>
      </c>
      <c r="E111" s="2">
        <v>1560</v>
      </c>
      <c r="F111" s="2">
        <v>2</v>
      </c>
      <c r="G111" s="4">
        <v>95.05</v>
      </c>
      <c r="H111" s="3" t="s">
        <v>32</v>
      </c>
      <c r="I111" s="2">
        <v>0</v>
      </c>
      <c r="J111" s="4">
        <v>34165</v>
      </c>
      <c r="K111" s="5">
        <v>55.7</v>
      </c>
      <c r="L111" s="4">
        <v>2930</v>
      </c>
      <c r="M111" s="5">
        <v>4.8</v>
      </c>
      <c r="N111" s="4">
        <v>8580</v>
      </c>
      <c r="O111" s="5">
        <v>14</v>
      </c>
      <c r="P111" s="4">
        <v>7020</v>
      </c>
      <c r="Q111" s="5">
        <v>11.4</v>
      </c>
      <c r="R111" s="4">
        <v>4992</v>
      </c>
      <c r="S111" s="5">
        <v>8.1</v>
      </c>
      <c r="T111" s="4">
        <v>1350</v>
      </c>
      <c r="U111" s="5">
        <v>2.2000000000000002</v>
      </c>
      <c r="V111" s="4">
        <v>1100</v>
      </c>
      <c r="W111" s="5">
        <v>1.8</v>
      </c>
      <c r="X111" s="4">
        <v>1203</v>
      </c>
      <c r="Y111" s="5">
        <v>2</v>
      </c>
      <c r="Z111" s="4">
        <v>0</v>
      </c>
      <c r="AA111" s="5">
        <v>0</v>
      </c>
      <c r="AB111" s="4">
        <v>60137</v>
      </c>
      <c r="AC111" s="4">
        <v>61340</v>
      </c>
      <c r="AD111">
        <v>40150</v>
      </c>
      <c r="AE111" s="8">
        <f t="shared" si="6"/>
        <v>21190</v>
      </c>
      <c r="AF111">
        <f t="shared" si="9"/>
        <v>0.52777085927770861</v>
      </c>
      <c r="AG111">
        <f t="shared" si="7"/>
        <v>0.53</v>
      </c>
      <c r="AH111" s="10">
        <v>61340</v>
      </c>
      <c r="AI111" s="12">
        <f t="shared" si="8"/>
        <v>21190</v>
      </c>
      <c r="AJ111">
        <f>(AH111-AD111)/AD111</f>
        <v>0.52777085927770861</v>
      </c>
      <c r="AK111">
        <f>AF111-AJ111</f>
        <v>0</v>
      </c>
    </row>
    <row r="112" spans="1:37" x14ac:dyDescent="0.35">
      <c r="A112" s="2">
        <v>111</v>
      </c>
      <c r="B112" s="3" t="s">
        <v>29</v>
      </c>
      <c r="C112" s="3" t="s">
        <v>30</v>
      </c>
      <c r="D112" s="3" t="s">
        <v>128</v>
      </c>
      <c r="E112" s="2">
        <v>1390</v>
      </c>
      <c r="F112" s="2">
        <v>2</v>
      </c>
      <c r="G112" s="4">
        <v>95.05</v>
      </c>
      <c r="H112" s="3" t="s">
        <v>32</v>
      </c>
      <c r="I112" s="2">
        <v>0</v>
      </c>
      <c r="J112" s="4">
        <v>30442</v>
      </c>
      <c r="K112" s="5">
        <v>55.1</v>
      </c>
      <c r="L112" s="4">
        <v>2930</v>
      </c>
      <c r="M112" s="5">
        <v>5.3</v>
      </c>
      <c r="N112" s="4">
        <v>7645</v>
      </c>
      <c r="O112" s="5">
        <v>13.8</v>
      </c>
      <c r="P112" s="4">
        <v>6255</v>
      </c>
      <c r="Q112" s="5">
        <v>11.3</v>
      </c>
      <c r="R112" s="4">
        <v>4448</v>
      </c>
      <c r="S112" s="5">
        <v>8.1</v>
      </c>
      <c r="T112" s="4">
        <v>1350</v>
      </c>
      <c r="U112" s="5">
        <v>2.4</v>
      </c>
      <c r="V112" s="4">
        <v>1100</v>
      </c>
      <c r="W112" s="5">
        <v>2</v>
      </c>
      <c r="X112" s="4">
        <v>1083</v>
      </c>
      <c r="Y112" s="5">
        <v>2</v>
      </c>
      <c r="Z112" s="4">
        <v>0</v>
      </c>
      <c r="AA112" s="5">
        <v>0</v>
      </c>
      <c r="AB112" s="4">
        <v>54170</v>
      </c>
      <c r="AC112" s="4">
        <v>55253</v>
      </c>
      <c r="AD112">
        <v>40150</v>
      </c>
      <c r="AE112" s="8">
        <f t="shared" si="6"/>
        <v>15103</v>
      </c>
      <c r="AF112">
        <f t="shared" si="9"/>
        <v>0.37616438356164383</v>
      </c>
      <c r="AG112">
        <f t="shared" si="7"/>
        <v>0.38</v>
      </c>
      <c r="AH112" s="10">
        <v>55253</v>
      </c>
      <c r="AI112" s="12">
        <f t="shared" si="8"/>
        <v>15103</v>
      </c>
      <c r="AJ112">
        <f>(AH112-AD112)/AD112</f>
        <v>0.37616438356164383</v>
      </c>
      <c r="AK112">
        <f>AF112-AJ112</f>
        <v>0</v>
      </c>
    </row>
    <row r="113" spans="1:37" x14ac:dyDescent="0.35">
      <c r="A113" s="2">
        <v>112</v>
      </c>
      <c r="B113" s="3" t="s">
        <v>29</v>
      </c>
      <c r="C113" s="3" t="s">
        <v>30</v>
      </c>
      <c r="D113" s="3" t="s">
        <v>129</v>
      </c>
      <c r="E113" s="2">
        <v>1470</v>
      </c>
      <c r="F113" s="2">
        <v>2</v>
      </c>
      <c r="G113" s="4">
        <v>95.05</v>
      </c>
      <c r="H113" s="3" t="s">
        <v>32</v>
      </c>
      <c r="I113" s="2">
        <v>0</v>
      </c>
      <c r="J113" s="4">
        <v>32194</v>
      </c>
      <c r="K113" s="5">
        <v>55.4</v>
      </c>
      <c r="L113" s="4">
        <v>2930</v>
      </c>
      <c r="M113" s="5">
        <v>5</v>
      </c>
      <c r="N113" s="4">
        <v>8085</v>
      </c>
      <c r="O113" s="5">
        <v>13.9</v>
      </c>
      <c r="P113" s="4">
        <v>6615</v>
      </c>
      <c r="Q113" s="5">
        <v>11.4</v>
      </c>
      <c r="R113" s="4">
        <v>4704</v>
      </c>
      <c r="S113" s="5">
        <v>8.1</v>
      </c>
      <c r="T113" s="4">
        <v>1350</v>
      </c>
      <c r="U113" s="5">
        <v>2.2999999999999998</v>
      </c>
      <c r="V113" s="4">
        <v>1100</v>
      </c>
      <c r="W113" s="5">
        <v>1.9</v>
      </c>
      <c r="X113" s="4">
        <v>1140</v>
      </c>
      <c r="Y113" s="5">
        <v>2</v>
      </c>
      <c r="Z113" s="4">
        <v>0</v>
      </c>
      <c r="AA113" s="5">
        <v>0</v>
      </c>
      <c r="AB113" s="4">
        <v>56978</v>
      </c>
      <c r="AC113" s="4">
        <v>58118</v>
      </c>
      <c r="AD113">
        <v>46000</v>
      </c>
      <c r="AE113" s="8">
        <f t="shared" si="6"/>
        <v>12118</v>
      </c>
      <c r="AF113">
        <f t="shared" si="9"/>
        <v>0.26343478260869563</v>
      </c>
      <c r="AG113">
        <f t="shared" si="7"/>
        <v>0.26</v>
      </c>
      <c r="AH113" s="10">
        <v>69742</v>
      </c>
      <c r="AI113" s="12">
        <f t="shared" si="8"/>
        <v>23742</v>
      </c>
      <c r="AJ113">
        <f>(AH113-AD113)/AD113</f>
        <v>0.51613043478260867</v>
      </c>
      <c r="AK113">
        <f>AF113-AJ113</f>
        <v>-0.25269565217391304</v>
      </c>
    </row>
    <row r="114" spans="1:37" x14ac:dyDescent="0.35">
      <c r="A114" s="2">
        <v>113</v>
      </c>
      <c r="B114" s="3" t="s">
        <v>29</v>
      </c>
      <c r="C114" s="3" t="s">
        <v>30</v>
      </c>
      <c r="D114" s="3" t="s">
        <v>130</v>
      </c>
      <c r="E114" s="2">
        <v>1660</v>
      </c>
      <c r="F114" s="2">
        <v>2</v>
      </c>
      <c r="G114" s="4">
        <v>95.05</v>
      </c>
      <c r="H114" s="3" t="s">
        <v>32</v>
      </c>
      <c r="I114" s="2">
        <v>0</v>
      </c>
      <c r="J114" s="4">
        <v>36356</v>
      </c>
      <c r="K114" s="5">
        <v>56</v>
      </c>
      <c r="L114" s="4">
        <v>2930</v>
      </c>
      <c r="M114" s="5">
        <v>4.5</v>
      </c>
      <c r="N114" s="4">
        <v>9130</v>
      </c>
      <c r="O114" s="5">
        <v>14.1</v>
      </c>
      <c r="P114" s="4">
        <v>7470</v>
      </c>
      <c r="Q114" s="5">
        <v>11.5</v>
      </c>
      <c r="R114" s="4">
        <v>5312</v>
      </c>
      <c r="S114" s="5">
        <v>8.1999999999999993</v>
      </c>
      <c r="T114" s="4">
        <v>1350</v>
      </c>
      <c r="U114" s="5">
        <v>2.1</v>
      </c>
      <c r="V114" s="4">
        <v>1100</v>
      </c>
      <c r="W114" s="5">
        <v>1.7</v>
      </c>
      <c r="X114" s="4">
        <v>1273</v>
      </c>
      <c r="Y114" s="5">
        <v>2</v>
      </c>
      <c r="Z114" s="4">
        <v>0</v>
      </c>
      <c r="AA114" s="5">
        <v>0</v>
      </c>
      <c r="AB114" s="4">
        <v>63648</v>
      </c>
      <c r="AC114" s="4">
        <v>64921</v>
      </c>
      <c r="AD114">
        <v>42500</v>
      </c>
      <c r="AE114" s="8">
        <f t="shared" si="6"/>
        <v>22421</v>
      </c>
      <c r="AF114">
        <f t="shared" si="9"/>
        <v>0.52755294117647056</v>
      </c>
      <c r="AG114">
        <f t="shared" si="7"/>
        <v>0.53</v>
      </c>
      <c r="AH114" s="10">
        <v>64921</v>
      </c>
      <c r="AI114" s="12">
        <f t="shared" si="8"/>
        <v>22421</v>
      </c>
      <c r="AJ114">
        <f>(AH114-AD114)/AD114</f>
        <v>0.52755294117647056</v>
      </c>
      <c r="AK114">
        <f>AF114-AJ114</f>
        <v>0</v>
      </c>
    </row>
    <row r="115" spans="1:37" x14ac:dyDescent="0.35">
      <c r="A115" s="2">
        <v>114</v>
      </c>
      <c r="B115" s="3" t="s">
        <v>33</v>
      </c>
      <c r="C115" s="3" t="s">
        <v>30</v>
      </c>
      <c r="D115" s="3" t="s">
        <v>131</v>
      </c>
      <c r="E115" s="2">
        <v>1530</v>
      </c>
      <c r="F115" s="2">
        <v>2</v>
      </c>
      <c r="G115" s="4">
        <v>95.05</v>
      </c>
      <c r="H115" s="3" t="s">
        <v>32</v>
      </c>
      <c r="I115" s="2">
        <v>0</v>
      </c>
      <c r="J115" s="4">
        <v>21869</v>
      </c>
      <c r="K115" s="5">
        <v>55.6</v>
      </c>
      <c r="L115" s="4">
        <v>2200</v>
      </c>
      <c r="M115" s="5">
        <v>5.6</v>
      </c>
      <c r="N115" s="4">
        <v>5508</v>
      </c>
      <c r="O115" s="5">
        <v>14</v>
      </c>
      <c r="P115" s="4">
        <v>3825</v>
      </c>
      <c r="Q115" s="5">
        <v>9.6999999999999993</v>
      </c>
      <c r="R115" s="4">
        <v>3519</v>
      </c>
      <c r="S115" s="5">
        <v>9</v>
      </c>
      <c r="T115" s="4">
        <v>863</v>
      </c>
      <c r="U115" s="5">
        <v>2.2000000000000002</v>
      </c>
      <c r="V115" s="4">
        <v>760</v>
      </c>
      <c r="W115" s="5">
        <v>1.9</v>
      </c>
      <c r="X115" s="4">
        <v>771</v>
      </c>
      <c r="Y115" s="5">
        <v>2</v>
      </c>
      <c r="Z115" s="4">
        <v>0</v>
      </c>
      <c r="AA115" s="5">
        <v>0</v>
      </c>
      <c r="AB115" s="4">
        <v>38544</v>
      </c>
      <c r="AC115" s="4">
        <v>39315</v>
      </c>
      <c r="AD115">
        <v>37200</v>
      </c>
      <c r="AE115" s="8">
        <f t="shared" si="6"/>
        <v>2115</v>
      </c>
      <c r="AF115">
        <f t="shared" si="9"/>
        <v>5.6854838709677419E-2</v>
      </c>
      <c r="AG115">
        <f t="shared" si="7"/>
        <v>0.06</v>
      </c>
      <c r="AH115" s="10">
        <v>39315</v>
      </c>
      <c r="AI115" s="12">
        <f t="shared" si="8"/>
        <v>2115</v>
      </c>
      <c r="AJ115">
        <f>(AH115-AD115)/AD115</f>
        <v>5.6854838709677419E-2</v>
      </c>
      <c r="AK115">
        <f>AF115-AJ115</f>
        <v>0</v>
      </c>
    </row>
    <row r="116" spans="1:37" x14ac:dyDescent="0.35">
      <c r="A116" s="2">
        <v>115</v>
      </c>
      <c r="B116" s="3" t="s">
        <v>29</v>
      </c>
      <c r="C116" s="3" t="s">
        <v>30</v>
      </c>
      <c r="D116" s="3" t="s">
        <v>131</v>
      </c>
      <c r="E116" s="2">
        <v>1530</v>
      </c>
      <c r="F116" s="2">
        <v>2</v>
      </c>
      <c r="G116" s="4">
        <v>95.05</v>
      </c>
      <c r="H116" s="3" t="s">
        <v>32</v>
      </c>
      <c r="I116" s="2">
        <v>0</v>
      </c>
      <c r="J116" s="4">
        <v>33508</v>
      </c>
      <c r="K116" s="5">
        <v>55.6</v>
      </c>
      <c r="L116" s="4">
        <v>2930</v>
      </c>
      <c r="M116" s="5">
        <v>4.9000000000000004</v>
      </c>
      <c r="N116" s="4">
        <v>8415</v>
      </c>
      <c r="O116" s="5">
        <v>14</v>
      </c>
      <c r="P116" s="4">
        <v>6885</v>
      </c>
      <c r="Q116" s="5">
        <v>11.4</v>
      </c>
      <c r="R116" s="4">
        <v>4896</v>
      </c>
      <c r="S116" s="5">
        <v>8.1</v>
      </c>
      <c r="T116" s="4">
        <v>1350</v>
      </c>
      <c r="U116" s="5">
        <v>2.2000000000000002</v>
      </c>
      <c r="V116" s="4">
        <v>1100</v>
      </c>
      <c r="W116" s="5">
        <v>1.8</v>
      </c>
      <c r="X116" s="4">
        <v>1182</v>
      </c>
      <c r="Y116" s="5">
        <v>2</v>
      </c>
      <c r="Z116" s="4">
        <v>0</v>
      </c>
      <c r="AA116" s="5">
        <v>0</v>
      </c>
      <c r="AB116" s="4">
        <v>59084</v>
      </c>
      <c r="AC116" s="4">
        <v>60266</v>
      </c>
      <c r="AD116">
        <v>40200</v>
      </c>
      <c r="AE116" s="8">
        <f t="shared" si="6"/>
        <v>20066</v>
      </c>
      <c r="AF116">
        <f t="shared" si="9"/>
        <v>0.49915422885572142</v>
      </c>
      <c r="AG116">
        <f t="shared" si="7"/>
        <v>0.5</v>
      </c>
      <c r="AH116" s="10">
        <v>60266</v>
      </c>
      <c r="AI116" s="12">
        <f t="shared" si="8"/>
        <v>20066</v>
      </c>
      <c r="AJ116">
        <f>(AH116-AD116)/AD116</f>
        <v>0.49915422885572142</v>
      </c>
      <c r="AK116">
        <f>AF116-AJ116</f>
        <v>0</v>
      </c>
    </row>
    <row r="117" spans="1:37" x14ac:dyDescent="0.35">
      <c r="A117" s="2">
        <v>116</v>
      </c>
      <c r="B117" s="3" t="s">
        <v>33</v>
      </c>
      <c r="C117" s="3" t="s">
        <v>30</v>
      </c>
      <c r="D117" s="3" t="s">
        <v>132</v>
      </c>
      <c r="E117" s="2">
        <v>1340</v>
      </c>
      <c r="F117" s="2">
        <v>2</v>
      </c>
      <c r="G117" s="4">
        <v>95.05</v>
      </c>
      <c r="H117" s="3" t="s">
        <v>32</v>
      </c>
      <c r="I117" s="2">
        <v>0</v>
      </c>
      <c r="J117" s="4">
        <v>19153</v>
      </c>
      <c r="K117" s="5">
        <v>54.9</v>
      </c>
      <c r="L117" s="4">
        <v>2200</v>
      </c>
      <c r="M117" s="5">
        <v>6.3</v>
      </c>
      <c r="N117" s="4">
        <v>4824</v>
      </c>
      <c r="O117" s="5">
        <v>13.8</v>
      </c>
      <c r="P117" s="4">
        <v>3350</v>
      </c>
      <c r="Q117" s="5">
        <v>9.6</v>
      </c>
      <c r="R117" s="4">
        <v>3082</v>
      </c>
      <c r="S117" s="5">
        <v>8.8000000000000007</v>
      </c>
      <c r="T117" s="4">
        <v>863</v>
      </c>
      <c r="U117" s="5">
        <v>2.5</v>
      </c>
      <c r="V117" s="4">
        <v>760</v>
      </c>
      <c r="W117" s="5">
        <v>2.2000000000000002</v>
      </c>
      <c r="X117" s="4">
        <v>685</v>
      </c>
      <c r="Y117" s="5">
        <v>2</v>
      </c>
      <c r="Z117" s="4">
        <v>0</v>
      </c>
      <c r="AA117" s="5">
        <v>0</v>
      </c>
      <c r="AB117" s="4">
        <v>34232</v>
      </c>
      <c r="AC117" s="4">
        <v>34917</v>
      </c>
      <c r="AD117">
        <v>35000</v>
      </c>
      <c r="AE117" s="8">
        <f t="shared" si="6"/>
        <v>-83</v>
      </c>
      <c r="AF117">
        <f t="shared" si="9"/>
        <v>-2.3714285714285716E-3</v>
      </c>
      <c r="AG117">
        <f t="shared" si="7"/>
        <v>0</v>
      </c>
      <c r="AH117" s="10">
        <v>34917</v>
      </c>
      <c r="AI117" s="12">
        <f t="shared" si="8"/>
        <v>-83</v>
      </c>
      <c r="AJ117">
        <f>(AH117-AD117)/AD117</f>
        <v>-2.3714285714285716E-3</v>
      </c>
      <c r="AK117">
        <f>AF117-AJ117</f>
        <v>0</v>
      </c>
    </row>
    <row r="118" spans="1:37" x14ac:dyDescent="0.35">
      <c r="A118" s="2">
        <v>117</v>
      </c>
      <c r="B118" s="3" t="s">
        <v>29</v>
      </c>
      <c r="C118" s="3" t="s">
        <v>30</v>
      </c>
      <c r="D118" s="3" t="s">
        <v>132</v>
      </c>
      <c r="E118" s="2">
        <v>1340</v>
      </c>
      <c r="F118" s="2">
        <v>2</v>
      </c>
      <c r="G118" s="4">
        <v>95.05</v>
      </c>
      <c r="H118" s="3" t="s">
        <v>32</v>
      </c>
      <c r="I118" s="2">
        <v>0</v>
      </c>
      <c r="J118" s="4">
        <v>29347</v>
      </c>
      <c r="K118" s="5">
        <v>54.9</v>
      </c>
      <c r="L118" s="4">
        <v>2930</v>
      </c>
      <c r="M118" s="5">
        <v>5.5</v>
      </c>
      <c r="N118" s="4">
        <v>7370</v>
      </c>
      <c r="O118" s="5">
        <v>13.8</v>
      </c>
      <c r="P118" s="4">
        <v>6030</v>
      </c>
      <c r="Q118" s="5">
        <v>11.3</v>
      </c>
      <c r="R118" s="4">
        <v>4288</v>
      </c>
      <c r="S118" s="5">
        <v>8</v>
      </c>
      <c r="T118" s="4">
        <v>1350</v>
      </c>
      <c r="U118" s="5">
        <v>2.5</v>
      </c>
      <c r="V118" s="4">
        <v>1100</v>
      </c>
      <c r="W118" s="5">
        <v>2.1</v>
      </c>
      <c r="X118" s="4">
        <v>1048</v>
      </c>
      <c r="Y118" s="5">
        <v>2</v>
      </c>
      <c r="Z118" s="4">
        <v>0</v>
      </c>
      <c r="AA118" s="5">
        <v>0</v>
      </c>
      <c r="AB118" s="4">
        <v>52415</v>
      </c>
      <c r="AC118" s="4">
        <v>53463</v>
      </c>
      <c r="AD118">
        <v>39000</v>
      </c>
      <c r="AE118" s="8">
        <f t="shared" si="6"/>
        <v>14463</v>
      </c>
      <c r="AF118">
        <f t="shared" si="9"/>
        <v>0.37084615384615383</v>
      </c>
      <c r="AG118">
        <f t="shared" si="7"/>
        <v>0.37</v>
      </c>
      <c r="AH118" s="10">
        <v>53463</v>
      </c>
      <c r="AI118" s="12">
        <f t="shared" si="8"/>
        <v>14463</v>
      </c>
      <c r="AJ118">
        <f>(AH118-AD118)/AD118</f>
        <v>0.37084615384615383</v>
      </c>
      <c r="AK118">
        <f>AF118-AJ118</f>
        <v>0</v>
      </c>
    </row>
    <row r="119" spans="1:37" x14ac:dyDescent="0.35">
      <c r="A119" s="2">
        <v>118</v>
      </c>
      <c r="B119" s="3" t="s">
        <v>29</v>
      </c>
      <c r="C119" s="3" t="s">
        <v>30</v>
      </c>
      <c r="D119" s="3" t="s">
        <v>133</v>
      </c>
      <c r="E119" s="2">
        <v>1540</v>
      </c>
      <c r="F119" s="2">
        <v>2</v>
      </c>
      <c r="G119" s="4">
        <v>95.05</v>
      </c>
      <c r="H119" s="3" t="s">
        <v>32</v>
      </c>
      <c r="I119" s="2">
        <v>0</v>
      </c>
      <c r="J119" s="4">
        <v>33727</v>
      </c>
      <c r="K119" s="5">
        <v>55.6</v>
      </c>
      <c r="L119" s="4">
        <v>2930</v>
      </c>
      <c r="M119" s="5">
        <v>4.8</v>
      </c>
      <c r="N119" s="4">
        <v>8470</v>
      </c>
      <c r="O119" s="5">
        <v>14</v>
      </c>
      <c r="P119" s="4">
        <v>6930</v>
      </c>
      <c r="Q119" s="5">
        <v>11.4</v>
      </c>
      <c r="R119" s="4">
        <v>4928</v>
      </c>
      <c r="S119" s="5">
        <v>8.1</v>
      </c>
      <c r="T119" s="4">
        <v>1350</v>
      </c>
      <c r="U119" s="5">
        <v>2.2000000000000002</v>
      </c>
      <c r="V119" s="4">
        <v>1100</v>
      </c>
      <c r="W119" s="5">
        <v>1.8</v>
      </c>
      <c r="X119" s="4">
        <v>1189</v>
      </c>
      <c r="Y119" s="5">
        <v>2</v>
      </c>
      <c r="Z119" s="4">
        <v>0</v>
      </c>
      <c r="AA119" s="5">
        <v>0</v>
      </c>
      <c r="AB119" s="4">
        <v>59435</v>
      </c>
      <c r="AC119" s="4">
        <v>60624</v>
      </c>
      <c r="AD119">
        <v>40150</v>
      </c>
      <c r="AE119" s="8">
        <f t="shared" si="6"/>
        <v>20474</v>
      </c>
      <c r="AF119">
        <f t="shared" si="9"/>
        <v>0.50993773349937732</v>
      </c>
      <c r="AG119">
        <f t="shared" si="7"/>
        <v>0.51</v>
      </c>
      <c r="AH119" s="10">
        <v>60624</v>
      </c>
      <c r="AI119" s="12">
        <f t="shared" si="8"/>
        <v>20474</v>
      </c>
      <c r="AJ119">
        <f>(AH119-AD119)/AD119</f>
        <v>0.50993773349937732</v>
      </c>
      <c r="AK119">
        <f>AF119-AJ119</f>
        <v>0</v>
      </c>
    </row>
    <row r="120" spans="1:37" x14ac:dyDescent="0.35">
      <c r="A120" s="2">
        <v>119</v>
      </c>
      <c r="B120" s="3" t="s">
        <v>29</v>
      </c>
      <c r="C120" s="3" t="s">
        <v>30</v>
      </c>
      <c r="D120" s="3" t="s">
        <v>134</v>
      </c>
      <c r="E120" s="2">
        <v>1660</v>
      </c>
      <c r="F120" s="2">
        <v>2</v>
      </c>
      <c r="G120" s="4">
        <v>95.05</v>
      </c>
      <c r="H120" s="3" t="s">
        <v>32</v>
      </c>
      <c r="I120" s="2">
        <v>0</v>
      </c>
      <c r="J120" s="4">
        <v>36356</v>
      </c>
      <c r="K120" s="5">
        <v>56</v>
      </c>
      <c r="L120" s="4">
        <v>2930</v>
      </c>
      <c r="M120" s="5">
        <v>4.5</v>
      </c>
      <c r="N120" s="4">
        <v>9130</v>
      </c>
      <c r="O120" s="5">
        <v>14.1</v>
      </c>
      <c r="P120" s="4">
        <v>7470</v>
      </c>
      <c r="Q120" s="5">
        <v>11.5</v>
      </c>
      <c r="R120" s="4">
        <v>5312</v>
      </c>
      <c r="S120" s="5">
        <v>8.1999999999999993</v>
      </c>
      <c r="T120" s="4">
        <v>1350</v>
      </c>
      <c r="U120" s="5">
        <v>2.1</v>
      </c>
      <c r="V120" s="4">
        <v>1100</v>
      </c>
      <c r="W120" s="5">
        <v>1.7</v>
      </c>
      <c r="X120" s="4">
        <v>1273</v>
      </c>
      <c r="Y120" s="5">
        <v>2</v>
      </c>
      <c r="Z120" s="4">
        <v>0</v>
      </c>
      <c r="AA120" s="5">
        <v>0</v>
      </c>
      <c r="AB120" s="4">
        <v>63648</v>
      </c>
      <c r="AC120" s="4">
        <v>64921</v>
      </c>
      <c r="AD120">
        <v>43800</v>
      </c>
      <c r="AE120" s="8">
        <f t="shared" si="6"/>
        <v>21121</v>
      </c>
      <c r="AF120">
        <f t="shared" si="9"/>
        <v>0.48221461187214609</v>
      </c>
      <c r="AG120">
        <f t="shared" si="7"/>
        <v>0.48</v>
      </c>
      <c r="AH120" s="10">
        <v>64921</v>
      </c>
      <c r="AI120" s="12">
        <f t="shared" si="8"/>
        <v>21121</v>
      </c>
      <c r="AJ120">
        <f>(AH120-AD120)/AD120</f>
        <v>0.48221461187214609</v>
      </c>
      <c r="AK120">
        <f>AF120-AJ120</f>
        <v>0</v>
      </c>
    </row>
    <row r="121" spans="1:37" x14ac:dyDescent="0.35">
      <c r="A121" s="2">
        <v>120</v>
      </c>
      <c r="B121" s="3" t="s">
        <v>29</v>
      </c>
      <c r="C121" s="3" t="s">
        <v>30</v>
      </c>
      <c r="D121" s="3" t="s">
        <v>135</v>
      </c>
      <c r="E121" s="2">
        <v>1650</v>
      </c>
      <c r="F121" s="2">
        <v>2</v>
      </c>
      <c r="G121" s="4">
        <v>95.05</v>
      </c>
      <c r="H121" s="3" t="s">
        <v>32</v>
      </c>
      <c r="I121" s="2">
        <v>0</v>
      </c>
      <c r="J121" s="4">
        <v>36137</v>
      </c>
      <c r="K121" s="5">
        <v>56</v>
      </c>
      <c r="L121" s="4">
        <v>2930</v>
      </c>
      <c r="M121" s="5">
        <v>4.5</v>
      </c>
      <c r="N121" s="4">
        <v>9075</v>
      </c>
      <c r="O121" s="5">
        <v>14.1</v>
      </c>
      <c r="P121" s="4">
        <v>7425</v>
      </c>
      <c r="Q121" s="5">
        <v>11.5</v>
      </c>
      <c r="R121" s="4">
        <v>5280</v>
      </c>
      <c r="S121" s="5">
        <v>8.1999999999999993</v>
      </c>
      <c r="T121" s="4">
        <v>1350</v>
      </c>
      <c r="U121" s="5">
        <v>2.1</v>
      </c>
      <c r="V121" s="4">
        <v>1100</v>
      </c>
      <c r="W121" s="5">
        <v>1.7</v>
      </c>
      <c r="X121" s="4">
        <v>1266</v>
      </c>
      <c r="Y121" s="5">
        <v>2</v>
      </c>
      <c r="Z121" s="4">
        <v>0</v>
      </c>
      <c r="AA121" s="5">
        <v>0</v>
      </c>
      <c r="AB121" s="4">
        <v>63297</v>
      </c>
      <c r="AC121" s="4">
        <v>64563</v>
      </c>
      <c r="AD121">
        <v>54000</v>
      </c>
      <c r="AE121" s="8">
        <f t="shared" si="6"/>
        <v>10563</v>
      </c>
      <c r="AF121">
        <f t="shared" si="9"/>
        <v>0.19561111111111112</v>
      </c>
      <c r="AG121">
        <f t="shared" si="7"/>
        <v>0.2</v>
      </c>
      <c r="AH121" s="10">
        <v>64563</v>
      </c>
      <c r="AI121" s="12">
        <f t="shared" si="8"/>
        <v>10563</v>
      </c>
      <c r="AJ121">
        <f>(AH121-AD121)/AD121</f>
        <v>0.19561111111111112</v>
      </c>
      <c r="AK121">
        <f>AF121-AJ121</f>
        <v>0</v>
      </c>
    </row>
    <row r="122" spans="1:37" x14ac:dyDescent="0.35">
      <c r="A122" s="2">
        <v>121</v>
      </c>
      <c r="B122" s="3" t="s">
        <v>29</v>
      </c>
      <c r="C122" s="3" t="s">
        <v>30</v>
      </c>
      <c r="D122" s="3" t="s">
        <v>136</v>
      </c>
      <c r="E122" s="2">
        <v>1340</v>
      </c>
      <c r="F122" s="2">
        <v>2</v>
      </c>
      <c r="G122" s="4">
        <v>95.05</v>
      </c>
      <c r="H122" s="3" t="s">
        <v>32</v>
      </c>
      <c r="I122" s="2">
        <v>0</v>
      </c>
      <c r="J122" s="4">
        <v>29347</v>
      </c>
      <c r="K122" s="5">
        <v>54.9</v>
      </c>
      <c r="L122" s="4">
        <v>2930</v>
      </c>
      <c r="M122" s="5">
        <v>5.5</v>
      </c>
      <c r="N122" s="4">
        <v>7370</v>
      </c>
      <c r="O122" s="5">
        <v>13.8</v>
      </c>
      <c r="P122" s="4">
        <v>6030</v>
      </c>
      <c r="Q122" s="5">
        <v>11.3</v>
      </c>
      <c r="R122" s="4">
        <v>4288</v>
      </c>
      <c r="S122" s="5">
        <v>8</v>
      </c>
      <c r="T122" s="4">
        <v>1350</v>
      </c>
      <c r="U122" s="5">
        <v>2.5</v>
      </c>
      <c r="V122" s="4">
        <v>1100</v>
      </c>
      <c r="W122" s="5">
        <v>2.1</v>
      </c>
      <c r="X122" s="4">
        <v>1048</v>
      </c>
      <c r="Y122" s="5">
        <v>2</v>
      </c>
      <c r="Z122" s="4">
        <v>0</v>
      </c>
      <c r="AA122" s="5">
        <v>0</v>
      </c>
      <c r="AB122" s="4">
        <v>52415</v>
      </c>
      <c r="AC122" s="4">
        <v>53463</v>
      </c>
      <c r="AD122">
        <v>42000</v>
      </c>
      <c r="AE122" s="8">
        <f t="shared" si="6"/>
        <v>11463</v>
      </c>
      <c r="AF122">
        <f t="shared" si="9"/>
        <v>0.27292857142857141</v>
      </c>
      <c r="AG122">
        <f t="shared" si="7"/>
        <v>0.27</v>
      </c>
      <c r="AH122" s="10">
        <v>53463</v>
      </c>
      <c r="AI122" s="12">
        <f t="shared" si="8"/>
        <v>11463</v>
      </c>
      <c r="AJ122">
        <f>(AH122-AD122)/AD122</f>
        <v>0.27292857142857141</v>
      </c>
      <c r="AK122">
        <f>AF122-AJ122</f>
        <v>0</v>
      </c>
    </row>
    <row r="123" spans="1:37" x14ac:dyDescent="0.35">
      <c r="A123" s="2">
        <v>122</v>
      </c>
      <c r="B123" s="3" t="s">
        <v>29</v>
      </c>
      <c r="C123" s="3" t="s">
        <v>30</v>
      </c>
      <c r="D123" s="3" t="s">
        <v>137</v>
      </c>
      <c r="E123" s="2">
        <v>1420</v>
      </c>
      <c r="F123" s="2">
        <v>2</v>
      </c>
      <c r="G123" s="4">
        <v>95.05</v>
      </c>
      <c r="H123" s="3" t="s">
        <v>32</v>
      </c>
      <c r="I123" s="2">
        <v>0</v>
      </c>
      <c r="J123" s="4">
        <v>31099</v>
      </c>
      <c r="K123" s="5">
        <v>55.2</v>
      </c>
      <c r="L123" s="4">
        <v>2930</v>
      </c>
      <c r="M123" s="5">
        <v>5.2</v>
      </c>
      <c r="N123" s="4">
        <v>7810</v>
      </c>
      <c r="O123" s="5">
        <v>13.9</v>
      </c>
      <c r="P123" s="4">
        <v>6390</v>
      </c>
      <c r="Q123" s="5">
        <v>11.3</v>
      </c>
      <c r="R123" s="4">
        <v>4544</v>
      </c>
      <c r="S123" s="5">
        <v>8.1</v>
      </c>
      <c r="T123" s="4">
        <v>1350</v>
      </c>
      <c r="U123" s="5">
        <v>2.4</v>
      </c>
      <c r="V123" s="4">
        <v>1100</v>
      </c>
      <c r="W123" s="5">
        <v>2</v>
      </c>
      <c r="X123" s="4">
        <v>1104</v>
      </c>
      <c r="Y123" s="5">
        <v>2</v>
      </c>
      <c r="Z123" s="4">
        <v>0</v>
      </c>
      <c r="AA123" s="5">
        <v>0</v>
      </c>
      <c r="AB123" s="4">
        <v>55223</v>
      </c>
      <c r="AC123" s="4">
        <v>56327</v>
      </c>
      <c r="AD123">
        <v>44000</v>
      </c>
      <c r="AE123" s="8">
        <f t="shared" si="6"/>
        <v>12327</v>
      </c>
      <c r="AF123">
        <f t="shared" si="9"/>
        <v>0.28015909090909091</v>
      </c>
      <c r="AG123">
        <f t="shared" si="7"/>
        <v>0.28000000000000003</v>
      </c>
      <c r="AH123" s="10">
        <v>56327</v>
      </c>
      <c r="AI123" s="12">
        <f t="shared" si="8"/>
        <v>12327</v>
      </c>
      <c r="AJ123">
        <f>(AH123-AD123)/AD123</f>
        <v>0.28015909090909091</v>
      </c>
      <c r="AK123">
        <f>AF123-AJ123</f>
        <v>0</v>
      </c>
    </row>
    <row r="124" spans="1:37" x14ac:dyDescent="0.35">
      <c r="A124" s="2">
        <v>123</v>
      </c>
      <c r="B124" s="3" t="s">
        <v>29</v>
      </c>
      <c r="C124" s="3" t="s">
        <v>30</v>
      </c>
      <c r="D124" s="3" t="s">
        <v>138</v>
      </c>
      <c r="E124" s="2">
        <v>1150</v>
      </c>
      <c r="F124" s="2">
        <v>2</v>
      </c>
      <c r="G124" s="4">
        <v>95.05</v>
      </c>
      <c r="H124" s="3" t="s">
        <v>32</v>
      </c>
      <c r="I124" s="2">
        <v>0</v>
      </c>
      <c r="J124" s="4">
        <v>25186</v>
      </c>
      <c r="K124" s="5">
        <v>54</v>
      </c>
      <c r="L124" s="4">
        <v>2930</v>
      </c>
      <c r="M124" s="5">
        <v>6.3</v>
      </c>
      <c r="N124" s="4">
        <v>6325</v>
      </c>
      <c r="O124" s="5">
        <v>13.6</v>
      </c>
      <c r="P124" s="4">
        <v>5175</v>
      </c>
      <c r="Q124" s="5">
        <v>11.1</v>
      </c>
      <c r="R124" s="4">
        <v>3680</v>
      </c>
      <c r="S124" s="5">
        <v>7.9</v>
      </c>
      <c r="T124" s="4">
        <v>1350</v>
      </c>
      <c r="U124" s="5">
        <v>2.9</v>
      </c>
      <c r="V124" s="4">
        <v>1100</v>
      </c>
      <c r="W124" s="5">
        <v>2.4</v>
      </c>
      <c r="X124" s="4">
        <v>915</v>
      </c>
      <c r="Y124" s="5">
        <v>2</v>
      </c>
      <c r="Z124" s="4">
        <v>0</v>
      </c>
      <c r="AA124" s="5">
        <v>0</v>
      </c>
      <c r="AB124" s="4">
        <v>45746</v>
      </c>
      <c r="AC124" s="4">
        <v>46661</v>
      </c>
      <c r="AD124">
        <v>38000</v>
      </c>
      <c r="AE124" s="8">
        <f t="shared" si="6"/>
        <v>8661</v>
      </c>
      <c r="AF124">
        <f t="shared" si="9"/>
        <v>0.22792105263157894</v>
      </c>
      <c r="AG124">
        <f t="shared" si="7"/>
        <v>0.23</v>
      </c>
      <c r="AH124" s="10">
        <v>46661</v>
      </c>
      <c r="AI124" s="12">
        <f t="shared" si="8"/>
        <v>8661</v>
      </c>
      <c r="AJ124">
        <f>(AH124-AD124)/AD124</f>
        <v>0.22792105263157894</v>
      </c>
      <c r="AK124">
        <f>AF124-AJ124</f>
        <v>0</v>
      </c>
    </row>
    <row r="125" spans="1:37" x14ac:dyDescent="0.35">
      <c r="A125" s="2">
        <v>124</v>
      </c>
      <c r="B125" s="3" t="s">
        <v>33</v>
      </c>
      <c r="C125" s="3" t="s">
        <v>30</v>
      </c>
      <c r="D125" s="3" t="s">
        <v>139</v>
      </c>
      <c r="E125" s="2">
        <v>950</v>
      </c>
      <c r="F125" s="2">
        <v>1</v>
      </c>
      <c r="G125" s="4">
        <v>95.05</v>
      </c>
      <c r="H125" s="3" t="s">
        <v>32</v>
      </c>
      <c r="I125" s="2">
        <v>0</v>
      </c>
      <c r="J125" s="4">
        <v>13579</v>
      </c>
      <c r="K125" s="5">
        <v>55.1</v>
      </c>
      <c r="L125" s="4">
        <v>1000</v>
      </c>
      <c r="M125" s="5">
        <v>4.0999999999999996</v>
      </c>
      <c r="N125" s="4">
        <v>3420</v>
      </c>
      <c r="O125" s="5">
        <v>13.9</v>
      </c>
      <c r="P125" s="4">
        <v>2375</v>
      </c>
      <c r="Q125" s="5">
        <v>9.6</v>
      </c>
      <c r="R125" s="4">
        <v>2185</v>
      </c>
      <c r="S125" s="5">
        <v>8.9</v>
      </c>
      <c r="T125" s="4">
        <v>863</v>
      </c>
      <c r="U125" s="5">
        <v>3.5</v>
      </c>
      <c r="V125" s="4">
        <v>760</v>
      </c>
      <c r="W125" s="5">
        <v>3.1</v>
      </c>
      <c r="X125" s="4">
        <v>484</v>
      </c>
      <c r="Y125" s="5">
        <v>2</v>
      </c>
      <c r="Z125" s="4">
        <v>0</v>
      </c>
      <c r="AA125" s="5">
        <v>0</v>
      </c>
      <c r="AB125" s="4">
        <v>24182</v>
      </c>
      <c r="AC125" s="4">
        <v>24666</v>
      </c>
      <c r="AD125">
        <v>34000</v>
      </c>
      <c r="AE125" s="8">
        <f t="shared" si="6"/>
        <v>-9334</v>
      </c>
      <c r="AF125">
        <f t="shared" si="9"/>
        <v>-0.27452941176470586</v>
      </c>
      <c r="AG125">
        <f t="shared" si="7"/>
        <v>-0.27</v>
      </c>
      <c r="AH125" s="10">
        <v>24666</v>
      </c>
      <c r="AI125" s="12">
        <f t="shared" si="8"/>
        <v>-9334</v>
      </c>
      <c r="AJ125">
        <f>(AH125-AD125)/AD125</f>
        <v>-0.27452941176470586</v>
      </c>
      <c r="AK125">
        <f>AF125-AJ125</f>
        <v>0</v>
      </c>
    </row>
    <row r="126" spans="1:37" x14ac:dyDescent="0.35">
      <c r="A126" s="2">
        <v>125</v>
      </c>
      <c r="B126" s="3" t="s">
        <v>29</v>
      </c>
      <c r="C126" s="3" t="s">
        <v>30</v>
      </c>
      <c r="D126" s="3" t="s">
        <v>139</v>
      </c>
      <c r="E126" s="2">
        <v>950</v>
      </c>
      <c r="F126" s="2">
        <v>1</v>
      </c>
      <c r="G126" s="4">
        <v>95.05</v>
      </c>
      <c r="H126" s="3" t="s">
        <v>32</v>
      </c>
      <c r="I126" s="2">
        <v>0</v>
      </c>
      <c r="J126" s="4">
        <v>20806</v>
      </c>
      <c r="K126" s="5">
        <v>54.9</v>
      </c>
      <c r="L126" s="4">
        <v>1380</v>
      </c>
      <c r="M126" s="5">
        <v>3.6</v>
      </c>
      <c r="N126" s="4">
        <v>5225</v>
      </c>
      <c r="O126" s="5">
        <v>13.8</v>
      </c>
      <c r="P126" s="4">
        <v>4275</v>
      </c>
      <c r="Q126" s="5">
        <v>11.3</v>
      </c>
      <c r="R126" s="4">
        <v>3040</v>
      </c>
      <c r="S126" s="5">
        <v>8</v>
      </c>
      <c r="T126" s="4">
        <v>1350</v>
      </c>
      <c r="U126" s="5">
        <v>3.6</v>
      </c>
      <c r="V126" s="4">
        <v>1100</v>
      </c>
      <c r="W126" s="5">
        <v>2.9</v>
      </c>
      <c r="X126" s="4">
        <v>744</v>
      </c>
      <c r="Y126" s="5">
        <v>2</v>
      </c>
      <c r="Z126" s="4">
        <v>0</v>
      </c>
      <c r="AA126" s="5">
        <v>0</v>
      </c>
      <c r="AB126" s="4">
        <v>37176</v>
      </c>
      <c r="AC126" s="4">
        <v>37920</v>
      </c>
      <c r="AD126">
        <v>35000</v>
      </c>
      <c r="AE126" s="8">
        <f t="shared" si="6"/>
        <v>2920</v>
      </c>
      <c r="AF126">
        <f t="shared" si="9"/>
        <v>8.3428571428571435E-2</v>
      </c>
      <c r="AG126">
        <f t="shared" si="7"/>
        <v>0.08</v>
      </c>
      <c r="AH126" s="10">
        <v>37920</v>
      </c>
      <c r="AI126" s="12">
        <f t="shared" si="8"/>
        <v>2920</v>
      </c>
      <c r="AJ126">
        <f>(AH126-AD126)/AD126</f>
        <v>8.3428571428571435E-2</v>
      </c>
      <c r="AK126">
        <f>AF126-AJ126</f>
        <v>0</v>
      </c>
    </row>
    <row r="127" spans="1:37" x14ac:dyDescent="0.35">
      <c r="A127" s="2">
        <v>126</v>
      </c>
      <c r="B127" s="3" t="s">
        <v>29</v>
      </c>
      <c r="C127" s="3" t="s">
        <v>30</v>
      </c>
      <c r="D127" s="3" t="s">
        <v>140</v>
      </c>
      <c r="E127" s="2">
        <v>920</v>
      </c>
      <c r="F127" s="2">
        <v>1</v>
      </c>
      <c r="G127" s="4">
        <v>95.05</v>
      </c>
      <c r="H127" s="3" t="s">
        <v>32</v>
      </c>
      <c r="I127" s="2">
        <v>0</v>
      </c>
      <c r="J127" s="4">
        <v>20149</v>
      </c>
      <c r="K127" s="5">
        <v>54.7</v>
      </c>
      <c r="L127" s="4">
        <v>1380</v>
      </c>
      <c r="M127" s="5">
        <v>3.7</v>
      </c>
      <c r="N127" s="4">
        <v>5060</v>
      </c>
      <c r="O127" s="5">
        <v>13.7</v>
      </c>
      <c r="P127" s="4">
        <v>4140</v>
      </c>
      <c r="Q127" s="5">
        <v>11.2</v>
      </c>
      <c r="R127" s="4">
        <v>2944</v>
      </c>
      <c r="S127" s="5">
        <v>8</v>
      </c>
      <c r="T127" s="4">
        <v>1350</v>
      </c>
      <c r="U127" s="5">
        <v>3.7</v>
      </c>
      <c r="V127" s="4">
        <v>1100</v>
      </c>
      <c r="W127" s="5">
        <v>3</v>
      </c>
      <c r="X127" s="4">
        <v>722</v>
      </c>
      <c r="Y127" s="5">
        <v>2</v>
      </c>
      <c r="Z127" s="4">
        <v>0</v>
      </c>
      <c r="AA127" s="5">
        <v>0</v>
      </c>
      <c r="AB127" s="4">
        <v>36123</v>
      </c>
      <c r="AC127" s="4">
        <v>36845</v>
      </c>
      <c r="AD127">
        <v>23000</v>
      </c>
      <c r="AE127" s="8">
        <f t="shared" si="6"/>
        <v>13845</v>
      </c>
      <c r="AF127">
        <f t="shared" si="9"/>
        <v>0.60195652173913039</v>
      </c>
      <c r="AG127">
        <f t="shared" si="7"/>
        <v>0.6</v>
      </c>
      <c r="AH127" s="10">
        <v>44214</v>
      </c>
      <c r="AI127" s="12">
        <f t="shared" si="8"/>
        <v>21214</v>
      </c>
      <c r="AJ127">
        <f>(AH127-AD127)/AD127</f>
        <v>0.92234782608695653</v>
      </c>
      <c r="AK127">
        <f>AF127-AJ127</f>
        <v>-0.32039130434782614</v>
      </c>
    </row>
    <row r="128" spans="1:37" x14ac:dyDescent="0.35">
      <c r="A128" s="2">
        <v>127</v>
      </c>
      <c r="B128" s="3" t="s">
        <v>29</v>
      </c>
      <c r="C128" s="3" t="s">
        <v>30</v>
      </c>
      <c r="D128" s="3" t="s">
        <v>141</v>
      </c>
      <c r="E128" s="2">
        <v>1050</v>
      </c>
      <c r="F128" s="2">
        <v>1</v>
      </c>
      <c r="G128" s="4">
        <v>95.05</v>
      </c>
      <c r="H128" s="3" t="s">
        <v>32</v>
      </c>
      <c r="I128" s="2">
        <v>0</v>
      </c>
      <c r="J128" s="4">
        <v>22996</v>
      </c>
      <c r="K128" s="5">
        <v>55.4</v>
      </c>
      <c r="L128" s="4">
        <v>1380</v>
      </c>
      <c r="M128" s="5">
        <v>3.3</v>
      </c>
      <c r="N128" s="4">
        <v>5775</v>
      </c>
      <c r="O128" s="5">
        <v>13.9</v>
      </c>
      <c r="P128" s="4">
        <v>4725</v>
      </c>
      <c r="Q128" s="5">
        <v>11.4</v>
      </c>
      <c r="R128" s="4">
        <v>3360</v>
      </c>
      <c r="S128" s="5">
        <v>8.1</v>
      </c>
      <c r="T128" s="4">
        <v>1350</v>
      </c>
      <c r="U128" s="5">
        <v>3.3</v>
      </c>
      <c r="V128" s="4">
        <v>1100</v>
      </c>
      <c r="W128" s="5">
        <v>2.7</v>
      </c>
      <c r="X128" s="4">
        <v>814</v>
      </c>
      <c r="Y128" s="5">
        <v>2</v>
      </c>
      <c r="Z128" s="4">
        <v>0</v>
      </c>
      <c r="AA128" s="5">
        <v>0</v>
      </c>
      <c r="AB128" s="4">
        <v>40686</v>
      </c>
      <c r="AC128" s="4">
        <v>41500</v>
      </c>
      <c r="AD128">
        <v>33900</v>
      </c>
      <c r="AE128" s="8">
        <f t="shared" si="6"/>
        <v>7600</v>
      </c>
      <c r="AF128">
        <f t="shared" si="9"/>
        <v>0.22418879056047197</v>
      </c>
      <c r="AG128">
        <f t="shared" si="7"/>
        <v>0.22</v>
      </c>
      <c r="AH128" s="10">
        <v>41500</v>
      </c>
      <c r="AI128" s="12">
        <f t="shared" si="8"/>
        <v>7600</v>
      </c>
      <c r="AJ128">
        <f>(AH128-AD128)/AD128</f>
        <v>0.22418879056047197</v>
      </c>
      <c r="AK128">
        <f>AF128-AJ128</f>
        <v>0</v>
      </c>
    </row>
    <row r="129" spans="1:37" x14ac:dyDescent="0.35">
      <c r="A129" s="2">
        <v>128</v>
      </c>
      <c r="B129" s="3" t="s">
        <v>29</v>
      </c>
      <c r="C129" s="3" t="s">
        <v>30</v>
      </c>
      <c r="D129" s="3" t="s">
        <v>142</v>
      </c>
      <c r="E129" s="2">
        <v>1130</v>
      </c>
      <c r="F129" s="2">
        <v>2</v>
      </c>
      <c r="G129" s="4">
        <v>95.05</v>
      </c>
      <c r="H129" s="3" t="s">
        <v>32</v>
      </c>
      <c r="I129" s="2">
        <v>0</v>
      </c>
      <c r="J129" s="4">
        <v>24748</v>
      </c>
      <c r="K129" s="5">
        <v>53.9</v>
      </c>
      <c r="L129" s="4">
        <v>2930</v>
      </c>
      <c r="M129" s="5">
        <v>6.4</v>
      </c>
      <c r="N129" s="4">
        <v>6215</v>
      </c>
      <c r="O129" s="5">
        <v>13.5</v>
      </c>
      <c r="P129" s="4">
        <v>5085</v>
      </c>
      <c r="Q129" s="5">
        <v>11.1</v>
      </c>
      <c r="R129" s="4">
        <v>3616</v>
      </c>
      <c r="S129" s="5">
        <v>7.9</v>
      </c>
      <c r="T129" s="4">
        <v>1350</v>
      </c>
      <c r="U129" s="5">
        <v>2.9</v>
      </c>
      <c r="V129" s="4">
        <v>1100</v>
      </c>
      <c r="W129" s="5">
        <v>2.4</v>
      </c>
      <c r="X129" s="4">
        <v>901</v>
      </c>
      <c r="Y129" s="5">
        <v>2</v>
      </c>
      <c r="Z129" s="4">
        <v>0</v>
      </c>
      <c r="AA129" s="5">
        <v>0</v>
      </c>
      <c r="AB129" s="4">
        <v>45044</v>
      </c>
      <c r="AC129" s="4">
        <v>45945</v>
      </c>
      <c r="AD129">
        <v>36000</v>
      </c>
      <c r="AE129" s="8">
        <f t="shared" si="6"/>
        <v>9945</v>
      </c>
      <c r="AF129">
        <f t="shared" si="9"/>
        <v>0.27625</v>
      </c>
      <c r="AG129">
        <f t="shared" si="7"/>
        <v>0.28000000000000003</v>
      </c>
      <c r="AH129" s="10">
        <v>45945</v>
      </c>
      <c r="AI129" s="12">
        <f t="shared" si="8"/>
        <v>9945</v>
      </c>
      <c r="AJ129">
        <f>(AH129-AD129)/AD129</f>
        <v>0.27625</v>
      </c>
      <c r="AK129">
        <f>AF129-AJ129</f>
        <v>0</v>
      </c>
    </row>
    <row r="130" spans="1:37" x14ac:dyDescent="0.35">
      <c r="A130" s="2">
        <v>129</v>
      </c>
      <c r="B130" s="3" t="s">
        <v>33</v>
      </c>
      <c r="C130" s="3" t="s">
        <v>30</v>
      </c>
      <c r="D130" s="3" t="s">
        <v>143</v>
      </c>
      <c r="E130" s="2">
        <v>1000</v>
      </c>
      <c r="F130" s="2">
        <v>1</v>
      </c>
      <c r="G130" s="4">
        <v>95.05</v>
      </c>
      <c r="H130" s="3" t="s">
        <v>32</v>
      </c>
      <c r="I130" s="2">
        <v>0</v>
      </c>
      <c r="J130" s="4">
        <v>14293</v>
      </c>
      <c r="K130" s="5">
        <v>55.4</v>
      </c>
      <c r="L130" s="4">
        <v>1000</v>
      </c>
      <c r="M130" s="5">
        <v>3.9</v>
      </c>
      <c r="N130" s="4">
        <v>3600</v>
      </c>
      <c r="O130" s="5">
        <v>13.9</v>
      </c>
      <c r="P130" s="4">
        <v>2500</v>
      </c>
      <c r="Q130" s="5">
        <v>9.6999999999999993</v>
      </c>
      <c r="R130" s="4">
        <v>2300</v>
      </c>
      <c r="S130" s="5">
        <v>8.9</v>
      </c>
      <c r="T130" s="4">
        <v>863</v>
      </c>
      <c r="U130" s="5">
        <v>3.3</v>
      </c>
      <c r="V130" s="4">
        <v>760</v>
      </c>
      <c r="W130" s="5">
        <v>2.9</v>
      </c>
      <c r="X130" s="4">
        <v>506</v>
      </c>
      <c r="Y130" s="5">
        <v>2</v>
      </c>
      <c r="Z130" s="4">
        <v>0</v>
      </c>
      <c r="AA130" s="5">
        <v>0</v>
      </c>
      <c r="AB130" s="4">
        <v>25316</v>
      </c>
      <c r="AC130" s="4">
        <v>25822</v>
      </c>
      <c r="AD130">
        <v>34000</v>
      </c>
      <c r="AE130" s="8">
        <f t="shared" si="6"/>
        <v>-8178</v>
      </c>
      <c r="AF130">
        <f t="shared" ref="AF130:AF161" si="10">AE130/AD130</f>
        <v>-0.24052941176470588</v>
      </c>
      <c r="AG130">
        <f t="shared" si="7"/>
        <v>-0.24</v>
      </c>
      <c r="AH130" s="10">
        <v>28404</v>
      </c>
      <c r="AI130" s="12">
        <f t="shared" si="8"/>
        <v>-5596</v>
      </c>
      <c r="AJ130">
        <f>(AH130-AD130)/AD130</f>
        <v>-0.16458823529411765</v>
      </c>
      <c r="AK130">
        <f>AF130-AJ130</f>
        <v>-7.5941176470588234E-2</v>
      </c>
    </row>
    <row r="131" spans="1:37" x14ac:dyDescent="0.35">
      <c r="A131" s="2">
        <v>130</v>
      </c>
      <c r="B131" s="3" t="s">
        <v>29</v>
      </c>
      <c r="C131" s="3" t="s">
        <v>30</v>
      </c>
      <c r="D131" s="3" t="s">
        <v>143</v>
      </c>
      <c r="E131" s="2">
        <v>1000</v>
      </c>
      <c r="F131" s="2">
        <v>1</v>
      </c>
      <c r="G131" s="4">
        <v>95.05</v>
      </c>
      <c r="H131" s="3" t="s">
        <v>32</v>
      </c>
      <c r="I131" s="2">
        <v>0</v>
      </c>
      <c r="J131" s="4">
        <v>21901</v>
      </c>
      <c r="K131" s="5">
        <v>55.2</v>
      </c>
      <c r="L131" s="4">
        <v>1380</v>
      </c>
      <c r="M131" s="5">
        <v>3.5</v>
      </c>
      <c r="N131" s="4">
        <v>5500</v>
      </c>
      <c r="O131" s="5">
        <v>13.9</v>
      </c>
      <c r="P131" s="4">
        <v>4500</v>
      </c>
      <c r="Q131" s="5">
        <v>11.3</v>
      </c>
      <c r="R131" s="4">
        <v>3200</v>
      </c>
      <c r="S131" s="5">
        <v>8.1</v>
      </c>
      <c r="T131" s="4">
        <v>1350</v>
      </c>
      <c r="U131" s="5">
        <v>3.4</v>
      </c>
      <c r="V131" s="4">
        <v>1100</v>
      </c>
      <c r="W131" s="5">
        <v>2.8</v>
      </c>
      <c r="X131" s="4">
        <v>779</v>
      </c>
      <c r="Y131" s="5">
        <v>2</v>
      </c>
      <c r="Z131" s="4">
        <v>0</v>
      </c>
      <c r="AA131" s="5">
        <v>0</v>
      </c>
      <c r="AB131" s="4">
        <v>38931</v>
      </c>
      <c r="AC131" s="4">
        <v>39710</v>
      </c>
      <c r="AD131">
        <v>35000</v>
      </c>
      <c r="AE131" s="8">
        <f t="shared" ref="AE131:AE194" si="11">AC131-AD131</f>
        <v>4710</v>
      </c>
      <c r="AF131">
        <f t="shared" si="10"/>
        <v>0.13457142857142856</v>
      </c>
      <c r="AG131">
        <f t="shared" ref="AG131:AG194" si="12">ROUND(AF131,2)</f>
        <v>0.13</v>
      </c>
      <c r="AH131" s="10">
        <v>43681</v>
      </c>
      <c r="AI131" s="12">
        <f t="shared" ref="AI131:AI194" si="13">AH131-AD131</f>
        <v>8681</v>
      </c>
      <c r="AJ131">
        <f>(AH131-AD131)/AD131</f>
        <v>0.24802857142857143</v>
      </c>
      <c r="AK131">
        <f>AF131-AJ131</f>
        <v>-0.11345714285714287</v>
      </c>
    </row>
    <row r="132" spans="1:37" x14ac:dyDescent="0.35">
      <c r="A132" s="2">
        <v>131</v>
      </c>
      <c r="B132" s="3" t="s">
        <v>29</v>
      </c>
      <c r="C132" s="3" t="s">
        <v>30</v>
      </c>
      <c r="D132" s="3" t="s">
        <v>144</v>
      </c>
      <c r="E132" s="2">
        <v>255</v>
      </c>
      <c r="F132" s="2">
        <v>1</v>
      </c>
      <c r="G132" s="4">
        <v>95.05</v>
      </c>
      <c r="H132" s="3" t="s">
        <v>32</v>
      </c>
      <c r="I132" s="2">
        <v>0</v>
      </c>
      <c r="J132" s="4">
        <v>5585</v>
      </c>
      <c r="K132" s="5">
        <v>42.8</v>
      </c>
      <c r="L132" s="4">
        <v>1380</v>
      </c>
      <c r="M132" s="5">
        <v>10.6</v>
      </c>
      <c r="N132" s="4">
        <v>1403</v>
      </c>
      <c r="O132" s="5">
        <v>10.8</v>
      </c>
      <c r="P132" s="4">
        <v>1148</v>
      </c>
      <c r="Q132" s="5">
        <v>8.8000000000000007</v>
      </c>
      <c r="R132" s="4">
        <v>816</v>
      </c>
      <c r="S132" s="5">
        <v>6.3</v>
      </c>
      <c r="T132" s="4">
        <v>1350</v>
      </c>
      <c r="U132" s="5">
        <v>10.4</v>
      </c>
      <c r="V132" s="4">
        <v>1100</v>
      </c>
      <c r="W132" s="5">
        <v>8.4</v>
      </c>
      <c r="X132" s="4">
        <v>256</v>
      </c>
      <c r="Y132" s="5">
        <v>2</v>
      </c>
      <c r="Z132" s="4">
        <v>0</v>
      </c>
      <c r="AA132" s="5">
        <v>0</v>
      </c>
      <c r="AB132" s="4">
        <v>12782</v>
      </c>
      <c r="AC132" s="4">
        <v>13038</v>
      </c>
      <c r="AD132">
        <v>21300</v>
      </c>
      <c r="AE132" s="8">
        <f t="shared" si="11"/>
        <v>-8262</v>
      </c>
      <c r="AF132">
        <f t="shared" si="10"/>
        <v>-0.38788732394366199</v>
      </c>
      <c r="AG132">
        <f t="shared" si="12"/>
        <v>-0.39</v>
      </c>
      <c r="AH132" s="10">
        <v>13038</v>
      </c>
      <c r="AI132" s="12">
        <f t="shared" si="13"/>
        <v>-8262</v>
      </c>
      <c r="AJ132">
        <f>(AH132-AD132)/AD132</f>
        <v>-0.38788732394366199</v>
      </c>
      <c r="AK132">
        <f>AF132-AJ132</f>
        <v>0</v>
      </c>
    </row>
    <row r="133" spans="1:37" x14ac:dyDescent="0.35">
      <c r="A133" s="2">
        <v>132</v>
      </c>
      <c r="B133" s="3" t="s">
        <v>29</v>
      </c>
      <c r="C133" s="3" t="s">
        <v>30</v>
      </c>
      <c r="D133" s="3" t="s">
        <v>145</v>
      </c>
      <c r="E133" s="2">
        <v>620</v>
      </c>
      <c r="F133" s="2">
        <v>1</v>
      </c>
      <c r="G133" s="4">
        <v>95.05</v>
      </c>
      <c r="H133" s="3" t="s">
        <v>32</v>
      </c>
      <c r="I133" s="2">
        <v>0</v>
      </c>
      <c r="J133" s="4">
        <v>13579</v>
      </c>
      <c r="K133" s="5">
        <v>52</v>
      </c>
      <c r="L133" s="4">
        <v>1380</v>
      </c>
      <c r="M133" s="5">
        <v>5.3</v>
      </c>
      <c r="N133" s="4">
        <v>3410</v>
      </c>
      <c r="O133" s="5">
        <v>13.1</v>
      </c>
      <c r="P133" s="4">
        <v>2790</v>
      </c>
      <c r="Q133" s="5">
        <v>10.7</v>
      </c>
      <c r="R133" s="4">
        <v>1984</v>
      </c>
      <c r="S133" s="5">
        <v>7.6</v>
      </c>
      <c r="T133" s="4">
        <v>1350</v>
      </c>
      <c r="U133" s="5">
        <v>5.2</v>
      </c>
      <c r="V133" s="4">
        <v>1100</v>
      </c>
      <c r="W133" s="5">
        <v>4.2</v>
      </c>
      <c r="X133" s="4">
        <v>512</v>
      </c>
      <c r="Y133" s="5">
        <v>2</v>
      </c>
      <c r="Z133" s="4">
        <v>0</v>
      </c>
      <c r="AA133" s="5">
        <v>0</v>
      </c>
      <c r="AB133" s="4">
        <v>25593</v>
      </c>
      <c r="AC133" s="4">
        <v>26105</v>
      </c>
      <c r="AD133">
        <v>24500</v>
      </c>
      <c r="AE133" s="8">
        <f t="shared" si="11"/>
        <v>1605</v>
      </c>
      <c r="AF133">
        <f t="shared" si="10"/>
        <v>6.5510204081632648E-2</v>
      </c>
      <c r="AG133">
        <f t="shared" si="12"/>
        <v>7.0000000000000007E-2</v>
      </c>
      <c r="AH133" s="10">
        <v>31326</v>
      </c>
      <c r="AI133" s="12">
        <f t="shared" si="13"/>
        <v>6826</v>
      </c>
      <c r="AJ133">
        <f>(AH133-AD133)/AD133</f>
        <v>0.27861224489795916</v>
      </c>
      <c r="AK133">
        <f>AF133-AJ133</f>
        <v>-0.2131020408163265</v>
      </c>
    </row>
    <row r="134" spans="1:37" x14ac:dyDescent="0.35">
      <c r="A134" s="2">
        <v>133</v>
      </c>
      <c r="B134" s="3" t="s">
        <v>83</v>
      </c>
      <c r="C134" s="3" t="s">
        <v>30</v>
      </c>
      <c r="D134" s="3" t="s">
        <v>146</v>
      </c>
      <c r="E134" s="2">
        <v>2200</v>
      </c>
      <c r="F134" s="2">
        <v>3</v>
      </c>
      <c r="G134" s="4">
        <v>95.05</v>
      </c>
      <c r="H134" s="3" t="s">
        <v>32</v>
      </c>
      <c r="I134" s="2">
        <v>0</v>
      </c>
      <c r="J134" s="4">
        <v>66384</v>
      </c>
      <c r="K134" s="5">
        <v>56.2</v>
      </c>
      <c r="L134" s="4">
        <v>5430</v>
      </c>
      <c r="M134" s="5">
        <v>4.5999999999999996</v>
      </c>
      <c r="N134" s="4">
        <v>16500</v>
      </c>
      <c r="O134" s="5">
        <v>14</v>
      </c>
      <c r="P134" s="4">
        <v>13200</v>
      </c>
      <c r="Q134" s="5">
        <v>11.2</v>
      </c>
      <c r="R134" s="4">
        <v>9240</v>
      </c>
      <c r="S134" s="5">
        <v>7.8</v>
      </c>
      <c r="T134" s="4">
        <v>2880</v>
      </c>
      <c r="U134" s="5">
        <v>2.4</v>
      </c>
      <c r="V134" s="4">
        <v>1600</v>
      </c>
      <c r="W134" s="5">
        <v>1.4</v>
      </c>
      <c r="X134" s="4">
        <v>2881</v>
      </c>
      <c r="Y134" s="5">
        <v>2.4</v>
      </c>
      <c r="Z134" s="4">
        <v>0</v>
      </c>
      <c r="AA134" s="5">
        <v>0</v>
      </c>
      <c r="AB134" s="4">
        <v>115234</v>
      </c>
      <c r="AC134" s="4">
        <v>118115</v>
      </c>
      <c r="AD134">
        <v>127000</v>
      </c>
      <c r="AE134" s="8">
        <f t="shared" si="11"/>
        <v>-8885</v>
      </c>
      <c r="AF134">
        <f t="shared" si="10"/>
        <v>-6.9960629921259843E-2</v>
      </c>
      <c r="AG134">
        <f t="shared" si="12"/>
        <v>-7.0000000000000007E-2</v>
      </c>
      <c r="AH134" s="10">
        <v>141738</v>
      </c>
      <c r="AI134" s="12">
        <f t="shared" si="13"/>
        <v>14738</v>
      </c>
      <c r="AJ134">
        <f>(AH134-AD134)/AD134</f>
        <v>0.11604724409448819</v>
      </c>
      <c r="AK134">
        <f>AF134-AJ134</f>
        <v>-0.18600787401574803</v>
      </c>
    </row>
    <row r="135" spans="1:37" x14ac:dyDescent="0.35">
      <c r="A135" s="2">
        <v>134</v>
      </c>
      <c r="B135" s="3" t="s">
        <v>92</v>
      </c>
      <c r="C135" s="3" t="s">
        <v>30</v>
      </c>
      <c r="D135" s="3" t="s">
        <v>146</v>
      </c>
      <c r="E135" s="2">
        <v>2200</v>
      </c>
      <c r="F135" s="2">
        <v>3</v>
      </c>
      <c r="G135" s="4">
        <v>95.05</v>
      </c>
      <c r="H135" s="3" t="s">
        <v>32</v>
      </c>
      <c r="I135" s="2">
        <v>0</v>
      </c>
      <c r="J135" s="4">
        <v>103010</v>
      </c>
      <c r="K135" s="5">
        <v>55.1</v>
      </c>
      <c r="L135" s="4">
        <v>8630</v>
      </c>
      <c r="M135" s="5">
        <v>4.5999999999999996</v>
      </c>
      <c r="N135" s="4">
        <v>25300</v>
      </c>
      <c r="O135" s="5">
        <v>13.5</v>
      </c>
      <c r="P135" s="4">
        <v>19800</v>
      </c>
      <c r="Q135" s="5">
        <v>10.6</v>
      </c>
      <c r="R135" s="4">
        <v>15840</v>
      </c>
      <c r="S135" s="5">
        <v>8.5</v>
      </c>
      <c r="T135" s="4">
        <v>6150</v>
      </c>
      <c r="U135" s="5">
        <v>3.3</v>
      </c>
      <c r="V135" s="4">
        <v>2800</v>
      </c>
      <c r="W135" s="5">
        <v>1.5</v>
      </c>
      <c r="X135" s="4">
        <v>5446</v>
      </c>
      <c r="Y135" s="5">
        <v>2.9</v>
      </c>
      <c r="Z135" s="4">
        <v>0</v>
      </c>
      <c r="AA135" s="5">
        <v>0</v>
      </c>
      <c r="AB135" s="4">
        <v>181530</v>
      </c>
      <c r="AC135" s="4">
        <v>186976</v>
      </c>
      <c r="AD135">
        <v>172000</v>
      </c>
      <c r="AE135" s="8">
        <f t="shared" si="11"/>
        <v>14976</v>
      </c>
      <c r="AF135">
        <f t="shared" si="10"/>
        <v>8.7069767441860471E-2</v>
      </c>
      <c r="AG135">
        <f t="shared" si="12"/>
        <v>0.09</v>
      </c>
      <c r="AH135" s="10">
        <v>224371</v>
      </c>
      <c r="AI135" s="12">
        <f t="shared" si="13"/>
        <v>52371</v>
      </c>
      <c r="AJ135">
        <f>(AH135-AD135)/AD135</f>
        <v>0.3044825581395349</v>
      </c>
      <c r="AK135">
        <f>AF135-AJ135</f>
        <v>-0.21741279069767444</v>
      </c>
    </row>
    <row r="136" spans="1:37" x14ac:dyDescent="0.35">
      <c r="A136" s="2">
        <v>135</v>
      </c>
      <c r="B136" s="3" t="s">
        <v>83</v>
      </c>
      <c r="C136" s="3" t="s">
        <v>30</v>
      </c>
      <c r="D136" s="3" t="s">
        <v>147</v>
      </c>
      <c r="E136" s="2">
        <v>2160</v>
      </c>
      <c r="F136" s="2">
        <v>2</v>
      </c>
      <c r="G136" s="4">
        <v>95.05</v>
      </c>
      <c r="H136" s="3" t="s">
        <v>32</v>
      </c>
      <c r="I136" s="2">
        <v>0</v>
      </c>
      <c r="J136" s="4">
        <v>65177</v>
      </c>
      <c r="K136" s="5">
        <v>57.1</v>
      </c>
      <c r="L136" s="4">
        <v>3530</v>
      </c>
      <c r="M136" s="5">
        <v>3.1</v>
      </c>
      <c r="N136" s="4">
        <v>16200</v>
      </c>
      <c r="O136" s="5">
        <v>14.2</v>
      </c>
      <c r="P136" s="4">
        <v>12960</v>
      </c>
      <c r="Q136" s="5">
        <v>11.3</v>
      </c>
      <c r="R136" s="4">
        <v>9072</v>
      </c>
      <c r="S136" s="5">
        <v>7.9</v>
      </c>
      <c r="T136" s="4">
        <v>2880</v>
      </c>
      <c r="U136" s="5">
        <v>2.5</v>
      </c>
      <c r="V136" s="4">
        <v>1600</v>
      </c>
      <c r="W136" s="5">
        <v>1.4</v>
      </c>
      <c r="X136" s="4">
        <v>2785</v>
      </c>
      <c r="Y136" s="5">
        <v>2.4</v>
      </c>
      <c r="Z136" s="4">
        <v>0</v>
      </c>
      <c r="AA136" s="5">
        <v>0</v>
      </c>
      <c r="AB136" s="4">
        <v>111419</v>
      </c>
      <c r="AC136" s="4">
        <v>114204</v>
      </c>
      <c r="AD136">
        <v>128000</v>
      </c>
      <c r="AE136" s="8">
        <f t="shared" si="11"/>
        <v>-13796</v>
      </c>
      <c r="AF136">
        <f t="shared" si="10"/>
        <v>-0.10778125</v>
      </c>
      <c r="AG136">
        <f t="shared" si="12"/>
        <v>-0.11</v>
      </c>
      <c r="AH136" s="10">
        <v>114204</v>
      </c>
      <c r="AI136" s="12">
        <f t="shared" si="13"/>
        <v>-13796</v>
      </c>
      <c r="AJ136">
        <f>(AH136-AD136)/AD136</f>
        <v>-0.10778125</v>
      </c>
      <c r="AK136">
        <f>AF136-AJ136</f>
        <v>0</v>
      </c>
    </row>
    <row r="137" spans="1:37" x14ac:dyDescent="0.35">
      <c r="A137" s="2">
        <v>136</v>
      </c>
      <c r="B137" s="3" t="s">
        <v>92</v>
      </c>
      <c r="C137" s="3" t="s">
        <v>30</v>
      </c>
      <c r="D137" s="3" t="s">
        <v>147</v>
      </c>
      <c r="E137" s="2">
        <v>2160</v>
      </c>
      <c r="F137" s="2">
        <v>2</v>
      </c>
      <c r="G137" s="4">
        <v>95.05</v>
      </c>
      <c r="H137" s="3" t="s">
        <v>32</v>
      </c>
      <c r="I137" s="2">
        <v>0</v>
      </c>
      <c r="J137" s="4">
        <v>101137</v>
      </c>
      <c r="K137" s="5">
        <v>55.9</v>
      </c>
      <c r="L137" s="4">
        <v>5630</v>
      </c>
      <c r="M137" s="5">
        <v>3.1</v>
      </c>
      <c r="N137" s="4">
        <v>24840</v>
      </c>
      <c r="O137" s="5">
        <v>13.7</v>
      </c>
      <c r="P137" s="4">
        <v>19440</v>
      </c>
      <c r="Q137" s="5">
        <v>10.8</v>
      </c>
      <c r="R137" s="4">
        <v>15552</v>
      </c>
      <c r="S137" s="5">
        <v>8.6</v>
      </c>
      <c r="T137" s="4">
        <v>6150</v>
      </c>
      <c r="U137" s="5">
        <v>3.4</v>
      </c>
      <c r="V137" s="4">
        <v>2800</v>
      </c>
      <c r="W137" s="5">
        <v>1.5</v>
      </c>
      <c r="X137" s="4">
        <v>5266</v>
      </c>
      <c r="Y137" s="5">
        <v>2.9</v>
      </c>
      <c r="Z137" s="4">
        <v>0</v>
      </c>
      <c r="AA137" s="5">
        <v>0</v>
      </c>
      <c r="AB137" s="4">
        <v>175549</v>
      </c>
      <c r="AC137" s="4">
        <v>180815</v>
      </c>
      <c r="AD137">
        <v>174000</v>
      </c>
      <c r="AE137" s="8">
        <f t="shared" si="11"/>
        <v>6815</v>
      </c>
      <c r="AF137">
        <f t="shared" si="10"/>
        <v>3.9166666666666669E-2</v>
      </c>
      <c r="AG137">
        <f t="shared" si="12"/>
        <v>0.04</v>
      </c>
      <c r="AH137" s="10">
        <v>180815</v>
      </c>
      <c r="AI137" s="12">
        <f t="shared" si="13"/>
        <v>6815</v>
      </c>
      <c r="AJ137">
        <f>(AH137-AD137)/AD137</f>
        <v>3.9166666666666669E-2</v>
      </c>
      <c r="AK137">
        <f>AF137-AJ137</f>
        <v>0</v>
      </c>
    </row>
    <row r="138" spans="1:37" x14ac:dyDescent="0.35">
      <c r="A138" s="2">
        <v>137</v>
      </c>
      <c r="B138" s="3" t="s">
        <v>83</v>
      </c>
      <c r="C138" s="3" t="s">
        <v>30</v>
      </c>
      <c r="D138" s="3" t="s">
        <v>148</v>
      </c>
      <c r="E138" s="2">
        <v>2150</v>
      </c>
      <c r="F138" s="2">
        <v>2</v>
      </c>
      <c r="G138" s="4">
        <v>95.05</v>
      </c>
      <c r="H138" s="3" t="s">
        <v>32</v>
      </c>
      <c r="I138" s="2">
        <v>0</v>
      </c>
      <c r="J138" s="4">
        <v>64875</v>
      </c>
      <c r="K138" s="5">
        <v>57.1</v>
      </c>
      <c r="L138" s="4">
        <v>3530</v>
      </c>
      <c r="M138" s="5">
        <v>3.1</v>
      </c>
      <c r="N138" s="4">
        <v>16125</v>
      </c>
      <c r="O138" s="5">
        <v>14.2</v>
      </c>
      <c r="P138" s="4">
        <v>12900</v>
      </c>
      <c r="Q138" s="5">
        <v>11.3</v>
      </c>
      <c r="R138" s="4">
        <v>9030</v>
      </c>
      <c r="S138" s="5">
        <v>7.9</v>
      </c>
      <c r="T138" s="4">
        <v>2880</v>
      </c>
      <c r="U138" s="5">
        <v>2.5</v>
      </c>
      <c r="V138" s="4">
        <v>1600</v>
      </c>
      <c r="W138" s="5">
        <v>1.4</v>
      </c>
      <c r="X138" s="4">
        <v>2774</v>
      </c>
      <c r="Y138" s="5">
        <v>2.4</v>
      </c>
      <c r="Z138" s="4">
        <v>0</v>
      </c>
      <c r="AA138" s="5">
        <v>0</v>
      </c>
      <c r="AB138" s="4">
        <v>110940</v>
      </c>
      <c r="AC138" s="4">
        <v>113714</v>
      </c>
      <c r="AD138">
        <v>124000</v>
      </c>
      <c r="AE138" s="8">
        <f t="shared" si="11"/>
        <v>-10286</v>
      </c>
      <c r="AF138">
        <f t="shared" si="10"/>
        <v>-8.2951612903225808E-2</v>
      </c>
      <c r="AG138">
        <f t="shared" si="12"/>
        <v>-0.08</v>
      </c>
      <c r="AH138" s="10">
        <v>113714</v>
      </c>
      <c r="AI138" s="12">
        <f t="shared" si="13"/>
        <v>-10286</v>
      </c>
      <c r="AJ138">
        <f>(AH138-AD138)/AD138</f>
        <v>-8.2951612903225808E-2</v>
      </c>
      <c r="AK138">
        <f>AF138-AJ138</f>
        <v>0</v>
      </c>
    </row>
    <row r="139" spans="1:37" x14ac:dyDescent="0.35">
      <c r="A139" s="2">
        <v>138</v>
      </c>
      <c r="B139" s="3" t="s">
        <v>29</v>
      </c>
      <c r="C139" s="3" t="s">
        <v>30</v>
      </c>
      <c r="D139" s="3" t="s">
        <v>149</v>
      </c>
      <c r="E139" s="2">
        <v>320</v>
      </c>
      <c r="F139" s="2">
        <v>1</v>
      </c>
      <c r="G139" s="4">
        <v>95.05</v>
      </c>
      <c r="H139" s="3" t="s">
        <v>32</v>
      </c>
      <c r="I139" s="2">
        <v>0</v>
      </c>
      <c r="J139" s="4">
        <v>7008</v>
      </c>
      <c r="K139" s="5">
        <v>45.6</v>
      </c>
      <c r="L139" s="4">
        <v>1380</v>
      </c>
      <c r="M139" s="5">
        <v>9</v>
      </c>
      <c r="N139" s="4">
        <v>1760</v>
      </c>
      <c r="O139" s="5">
        <v>11.5</v>
      </c>
      <c r="P139" s="4">
        <v>1440</v>
      </c>
      <c r="Q139" s="5">
        <v>9.4</v>
      </c>
      <c r="R139" s="4">
        <v>1024</v>
      </c>
      <c r="S139" s="5">
        <v>6.7</v>
      </c>
      <c r="T139" s="4">
        <v>1350</v>
      </c>
      <c r="U139" s="5">
        <v>8.8000000000000007</v>
      </c>
      <c r="V139" s="4">
        <v>1100</v>
      </c>
      <c r="W139" s="5">
        <v>7.2</v>
      </c>
      <c r="X139" s="4">
        <v>301</v>
      </c>
      <c r="Y139" s="5">
        <v>2</v>
      </c>
      <c r="Z139" s="4">
        <v>0</v>
      </c>
      <c r="AA139" s="5">
        <v>0</v>
      </c>
      <c r="AB139" s="4">
        <v>15062</v>
      </c>
      <c r="AC139" s="4">
        <v>15363</v>
      </c>
      <c r="AD139">
        <v>12000</v>
      </c>
      <c r="AE139" s="8">
        <f t="shared" si="11"/>
        <v>3363</v>
      </c>
      <c r="AF139">
        <f t="shared" si="10"/>
        <v>0.28025</v>
      </c>
      <c r="AG139">
        <f t="shared" si="12"/>
        <v>0.28000000000000003</v>
      </c>
      <c r="AH139" s="10">
        <v>18436</v>
      </c>
      <c r="AI139" s="12">
        <f t="shared" si="13"/>
        <v>6436</v>
      </c>
      <c r="AJ139">
        <f>(AH139-AD139)/AD139</f>
        <v>0.53633333333333333</v>
      </c>
      <c r="AK139">
        <f>AF139-AJ139</f>
        <v>-0.25608333333333333</v>
      </c>
    </row>
    <row r="140" spans="1:37" x14ac:dyDescent="0.35">
      <c r="A140" s="2">
        <v>139</v>
      </c>
      <c r="B140" s="3" t="s">
        <v>29</v>
      </c>
      <c r="C140" s="3" t="s">
        <v>30</v>
      </c>
      <c r="D140" s="3" t="s">
        <v>150</v>
      </c>
      <c r="E140" s="2">
        <v>310</v>
      </c>
      <c r="F140" s="2">
        <v>1</v>
      </c>
      <c r="G140" s="4">
        <v>95.05</v>
      </c>
      <c r="H140" s="3" t="s">
        <v>32</v>
      </c>
      <c r="I140" s="2">
        <v>0</v>
      </c>
      <c r="J140" s="4">
        <v>6789</v>
      </c>
      <c r="K140" s="5">
        <v>45.2</v>
      </c>
      <c r="L140" s="4">
        <v>1380</v>
      </c>
      <c r="M140" s="5">
        <v>9.1999999999999993</v>
      </c>
      <c r="N140" s="4">
        <v>1705</v>
      </c>
      <c r="O140" s="5">
        <v>11.4</v>
      </c>
      <c r="P140" s="4">
        <v>1395</v>
      </c>
      <c r="Q140" s="5">
        <v>9.3000000000000007</v>
      </c>
      <c r="R140" s="4">
        <v>992</v>
      </c>
      <c r="S140" s="5">
        <v>6.6</v>
      </c>
      <c r="T140" s="4">
        <v>1350</v>
      </c>
      <c r="U140" s="5">
        <v>9</v>
      </c>
      <c r="V140" s="4">
        <v>1100</v>
      </c>
      <c r="W140" s="5">
        <v>7.3</v>
      </c>
      <c r="X140" s="4">
        <v>294</v>
      </c>
      <c r="Y140" s="5">
        <v>2</v>
      </c>
      <c r="Z140" s="4">
        <v>0</v>
      </c>
      <c r="AA140" s="5">
        <v>0</v>
      </c>
      <c r="AB140" s="4">
        <v>14711</v>
      </c>
      <c r="AC140" s="4">
        <v>15005</v>
      </c>
      <c r="AD140">
        <v>12000</v>
      </c>
      <c r="AE140" s="8">
        <f t="shared" si="11"/>
        <v>3005</v>
      </c>
      <c r="AF140">
        <f t="shared" si="10"/>
        <v>0.25041666666666668</v>
      </c>
      <c r="AG140">
        <f t="shared" si="12"/>
        <v>0.25</v>
      </c>
      <c r="AH140" s="10">
        <v>15005</v>
      </c>
      <c r="AI140" s="12">
        <f t="shared" si="13"/>
        <v>3005</v>
      </c>
      <c r="AJ140">
        <f>(AH140-AD140)/AD140</f>
        <v>0.25041666666666668</v>
      </c>
      <c r="AK140">
        <f>AF140-AJ140</f>
        <v>0</v>
      </c>
    </row>
    <row r="141" spans="1:37" x14ac:dyDescent="0.35">
      <c r="A141" s="2">
        <v>140</v>
      </c>
      <c r="B141" s="3" t="s">
        <v>29</v>
      </c>
      <c r="C141" s="3" t="s">
        <v>30</v>
      </c>
      <c r="D141" s="3" t="s">
        <v>151</v>
      </c>
      <c r="E141" s="2">
        <v>790</v>
      </c>
      <c r="F141" s="2">
        <v>1</v>
      </c>
      <c r="G141" s="4">
        <v>95.05</v>
      </c>
      <c r="H141" s="3" t="s">
        <v>32</v>
      </c>
      <c r="I141" s="2">
        <v>0</v>
      </c>
      <c r="J141" s="4">
        <v>17302</v>
      </c>
      <c r="K141" s="5">
        <v>53.7</v>
      </c>
      <c r="L141" s="4">
        <v>1380</v>
      </c>
      <c r="M141" s="5">
        <v>4.3</v>
      </c>
      <c r="N141" s="4">
        <v>4345</v>
      </c>
      <c r="O141" s="5">
        <v>13.5</v>
      </c>
      <c r="P141" s="4">
        <v>3555</v>
      </c>
      <c r="Q141" s="5">
        <v>11</v>
      </c>
      <c r="R141" s="4">
        <v>2528</v>
      </c>
      <c r="S141" s="5">
        <v>7.9</v>
      </c>
      <c r="T141" s="4">
        <v>1350</v>
      </c>
      <c r="U141" s="5">
        <v>4.2</v>
      </c>
      <c r="V141" s="4">
        <v>1100</v>
      </c>
      <c r="W141" s="5">
        <v>3.4</v>
      </c>
      <c r="X141" s="4">
        <v>631</v>
      </c>
      <c r="Y141" s="5">
        <v>2</v>
      </c>
      <c r="Z141" s="4">
        <v>0</v>
      </c>
      <c r="AA141" s="5">
        <v>0</v>
      </c>
      <c r="AB141" s="4">
        <v>31560</v>
      </c>
      <c r="AC141" s="4">
        <v>32191</v>
      </c>
      <c r="AD141">
        <v>21500</v>
      </c>
      <c r="AE141" s="8">
        <f t="shared" si="11"/>
        <v>10691</v>
      </c>
      <c r="AF141">
        <f t="shared" si="10"/>
        <v>0.49725581395348839</v>
      </c>
      <c r="AG141">
        <f t="shared" si="12"/>
        <v>0.5</v>
      </c>
      <c r="AH141" s="10">
        <v>32191</v>
      </c>
      <c r="AI141" s="12">
        <f t="shared" si="13"/>
        <v>10691</v>
      </c>
      <c r="AJ141">
        <f>(AH141-AD141)/AD141</f>
        <v>0.49725581395348839</v>
      </c>
      <c r="AK141">
        <f>AF141-AJ141</f>
        <v>0</v>
      </c>
    </row>
    <row r="142" spans="1:37" x14ac:dyDescent="0.35">
      <c r="A142" s="2">
        <v>141</v>
      </c>
      <c r="B142" s="3" t="s">
        <v>29</v>
      </c>
      <c r="C142" s="3" t="s">
        <v>30</v>
      </c>
      <c r="D142" s="3" t="s">
        <v>152</v>
      </c>
      <c r="E142" s="2">
        <v>420</v>
      </c>
      <c r="F142" s="2">
        <v>1</v>
      </c>
      <c r="G142" s="4">
        <v>95.05</v>
      </c>
      <c r="H142" s="3" t="s">
        <v>32</v>
      </c>
      <c r="I142" s="2">
        <v>0</v>
      </c>
      <c r="J142" s="4">
        <v>9198</v>
      </c>
      <c r="K142" s="5">
        <v>48.6</v>
      </c>
      <c r="L142" s="4">
        <v>1380</v>
      </c>
      <c r="M142" s="5">
        <v>7.3</v>
      </c>
      <c r="N142" s="4">
        <v>2310</v>
      </c>
      <c r="O142" s="5">
        <v>12.2</v>
      </c>
      <c r="P142" s="4">
        <v>1890</v>
      </c>
      <c r="Q142" s="5">
        <v>10</v>
      </c>
      <c r="R142" s="4">
        <v>1344</v>
      </c>
      <c r="S142" s="5">
        <v>7.1</v>
      </c>
      <c r="T142" s="4">
        <v>1350</v>
      </c>
      <c r="U142" s="5">
        <v>7.1</v>
      </c>
      <c r="V142" s="4">
        <v>1100</v>
      </c>
      <c r="W142" s="5">
        <v>5.8</v>
      </c>
      <c r="X142" s="4">
        <v>371</v>
      </c>
      <c r="Y142" s="5">
        <v>2</v>
      </c>
      <c r="Z142" s="4">
        <v>0</v>
      </c>
      <c r="AA142" s="5">
        <v>0</v>
      </c>
      <c r="AB142" s="4">
        <v>18572</v>
      </c>
      <c r="AC142" s="4">
        <v>18943</v>
      </c>
      <c r="AD142">
        <v>12900</v>
      </c>
      <c r="AE142" s="8">
        <f t="shared" si="11"/>
        <v>6043</v>
      </c>
      <c r="AF142">
        <f t="shared" si="10"/>
        <v>0.46844961240310079</v>
      </c>
      <c r="AG142">
        <f t="shared" si="12"/>
        <v>0.47</v>
      </c>
      <c r="AH142" s="10">
        <v>18943</v>
      </c>
      <c r="AI142" s="12">
        <f t="shared" si="13"/>
        <v>6043</v>
      </c>
      <c r="AJ142">
        <f>(AH142-AD142)/AD142</f>
        <v>0.46844961240310079</v>
      </c>
      <c r="AK142">
        <f>AF142-AJ142</f>
        <v>0</v>
      </c>
    </row>
    <row r="143" spans="1:37" x14ac:dyDescent="0.35">
      <c r="A143" s="2">
        <v>142</v>
      </c>
      <c r="B143" s="3" t="s">
        <v>29</v>
      </c>
      <c r="C143" s="3" t="s">
        <v>30</v>
      </c>
      <c r="D143" s="3" t="s">
        <v>153</v>
      </c>
      <c r="E143" s="2">
        <v>200</v>
      </c>
      <c r="F143" s="2">
        <v>1</v>
      </c>
      <c r="G143" s="4">
        <v>95.05</v>
      </c>
      <c r="H143" s="3" t="s">
        <v>32</v>
      </c>
      <c r="I143" s="2">
        <v>0</v>
      </c>
      <c r="J143" s="4">
        <v>4380</v>
      </c>
      <c r="K143" s="5">
        <v>39.6</v>
      </c>
      <c r="L143" s="4">
        <v>1380</v>
      </c>
      <c r="M143" s="5">
        <v>12.5</v>
      </c>
      <c r="N143" s="4">
        <v>1100</v>
      </c>
      <c r="O143" s="5">
        <v>9.9</v>
      </c>
      <c r="P143" s="4">
        <v>900</v>
      </c>
      <c r="Q143" s="5">
        <v>8.1</v>
      </c>
      <c r="R143" s="4">
        <v>640</v>
      </c>
      <c r="S143" s="5">
        <v>5.8</v>
      </c>
      <c r="T143" s="4">
        <v>1350</v>
      </c>
      <c r="U143" s="5">
        <v>12.2</v>
      </c>
      <c r="V143" s="4">
        <v>1100</v>
      </c>
      <c r="W143" s="5">
        <v>9.9</v>
      </c>
      <c r="X143" s="4">
        <v>217</v>
      </c>
      <c r="Y143" s="5">
        <v>2</v>
      </c>
      <c r="Z143" s="4">
        <v>0</v>
      </c>
      <c r="AA143" s="5">
        <v>0</v>
      </c>
      <c r="AB143" s="4">
        <v>10850</v>
      </c>
      <c r="AC143" s="4">
        <v>11067</v>
      </c>
      <c r="AD143">
        <v>11500</v>
      </c>
      <c r="AE143" s="8">
        <f t="shared" si="11"/>
        <v>-433</v>
      </c>
      <c r="AF143">
        <f t="shared" si="10"/>
        <v>-3.7652173913043478E-2</v>
      </c>
      <c r="AG143">
        <f t="shared" si="12"/>
        <v>-0.04</v>
      </c>
      <c r="AH143" s="10">
        <v>11067</v>
      </c>
      <c r="AI143" s="12">
        <f t="shared" si="13"/>
        <v>-433</v>
      </c>
      <c r="AJ143">
        <f>(AH143-AD143)/AD143</f>
        <v>-3.7652173913043478E-2</v>
      </c>
      <c r="AK143">
        <f>AF143-AJ143</f>
        <v>0</v>
      </c>
    </row>
    <row r="144" spans="1:37" x14ac:dyDescent="0.35">
      <c r="A144" s="2">
        <v>143</v>
      </c>
      <c r="B144" s="3" t="s">
        <v>29</v>
      </c>
      <c r="C144" s="3" t="s">
        <v>30</v>
      </c>
      <c r="D144" s="3" t="s">
        <v>154</v>
      </c>
      <c r="E144" s="2">
        <v>610</v>
      </c>
      <c r="F144" s="2">
        <v>1</v>
      </c>
      <c r="G144" s="4">
        <v>95.05</v>
      </c>
      <c r="H144" s="3" t="s">
        <v>32</v>
      </c>
      <c r="I144" s="2">
        <v>0</v>
      </c>
      <c r="J144" s="4">
        <v>13360</v>
      </c>
      <c r="K144" s="5">
        <v>51.9</v>
      </c>
      <c r="L144" s="4">
        <v>1380</v>
      </c>
      <c r="M144" s="5">
        <v>5.4</v>
      </c>
      <c r="N144" s="4">
        <v>3355</v>
      </c>
      <c r="O144" s="5">
        <v>13</v>
      </c>
      <c r="P144" s="4">
        <v>2745</v>
      </c>
      <c r="Q144" s="5">
        <v>10.7</v>
      </c>
      <c r="R144" s="4">
        <v>1952</v>
      </c>
      <c r="S144" s="5">
        <v>7.6</v>
      </c>
      <c r="T144" s="4">
        <v>1350</v>
      </c>
      <c r="U144" s="5">
        <v>5.2</v>
      </c>
      <c r="V144" s="4">
        <v>1100</v>
      </c>
      <c r="W144" s="5">
        <v>4.3</v>
      </c>
      <c r="X144" s="4">
        <v>505</v>
      </c>
      <c r="Y144" s="5">
        <v>2</v>
      </c>
      <c r="Z144" s="4">
        <v>0</v>
      </c>
      <c r="AA144" s="5">
        <v>0</v>
      </c>
      <c r="AB144" s="4">
        <v>25242</v>
      </c>
      <c r="AC144" s="4">
        <v>25747</v>
      </c>
      <c r="AD144">
        <v>24500</v>
      </c>
      <c r="AE144" s="8">
        <f t="shared" si="11"/>
        <v>1247</v>
      </c>
      <c r="AF144">
        <f t="shared" si="10"/>
        <v>5.0897959183673472E-2</v>
      </c>
      <c r="AG144">
        <f t="shared" si="12"/>
        <v>0.05</v>
      </c>
      <c r="AH144" s="10">
        <v>25747</v>
      </c>
      <c r="AI144" s="12">
        <f t="shared" si="13"/>
        <v>1247</v>
      </c>
      <c r="AJ144">
        <f>(AH144-AD144)/AD144</f>
        <v>5.0897959183673472E-2</v>
      </c>
      <c r="AK144">
        <f>AF144-AJ144</f>
        <v>0</v>
      </c>
    </row>
    <row r="145" spans="1:37" x14ac:dyDescent="0.35">
      <c r="A145" s="2">
        <v>144</v>
      </c>
      <c r="B145" s="3" t="s">
        <v>88</v>
      </c>
      <c r="C145" s="3" t="s">
        <v>30</v>
      </c>
      <c r="D145" s="3" t="s">
        <v>155</v>
      </c>
      <c r="E145" s="2">
        <v>340</v>
      </c>
      <c r="F145" s="2">
        <v>1</v>
      </c>
      <c r="G145" s="4">
        <v>95.05</v>
      </c>
      <c r="H145" s="3" t="s">
        <v>32</v>
      </c>
      <c r="I145" s="2">
        <v>0</v>
      </c>
      <c r="J145" s="4">
        <v>8099</v>
      </c>
      <c r="K145" s="5">
        <v>45.4</v>
      </c>
      <c r="L145" s="4">
        <v>1420</v>
      </c>
      <c r="M145" s="5">
        <v>8</v>
      </c>
      <c r="N145" s="4">
        <v>1972</v>
      </c>
      <c r="O145" s="5">
        <v>11</v>
      </c>
      <c r="P145" s="4">
        <v>1530</v>
      </c>
      <c r="Q145" s="5">
        <v>8.6</v>
      </c>
      <c r="R145" s="4">
        <v>1156</v>
      </c>
      <c r="S145" s="5">
        <v>6.5</v>
      </c>
      <c r="T145" s="4">
        <v>2175</v>
      </c>
      <c r="U145" s="5">
        <v>12.2</v>
      </c>
      <c r="V145" s="4">
        <v>1150</v>
      </c>
      <c r="W145" s="5">
        <v>6.4</v>
      </c>
      <c r="X145" s="4">
        <v>350</v>
      </c>
      <c r="Y145" s="5">
        <v>2</v>
      </c>
      <c r="Z145" s="4">
        <v>0</v>
      </c>
      <c r="AA145" s="5">
        <v>0</v>
      </c>
      <c r="AB145" s="4">
        <v>17502</v>
      </c>
      <c r="AC145" s="4">
        <v>17852</v>
      </c>
      <c r="AD145">
        <v>19500</v>
      </c>
      <c r="AE145" s="8">
        <f t="shared" si="11"/>
        <v>-1648</v>
      </c>
      <c r="AF145">
        <f t="shared" si="10"/>
        <v>-8.4512820512820511E-2</v>
      </c>
      <c r="AG145">
        <f t="shared" si="12"/>
        <v>-0.08</v>
      </c>
      <c r="AH145" s="10">
        <v>17852</v>
      </c>
      <c r="AI145" s="12">
        <f t="shared" si="13"/>
        <v>-1648</v>
      </c>
      <c r="AJ145">
        <f>(AH145-AD145)/AD145</f>
        <v>-8.4512820512820511E-2</v>
      </c>
      <c r="AK145">
        <f>AF145-AJ145</f>
        <v>0</v>
      </c>
    </row>
    <row r="146" spans="1:37" x14ac:dyDescent="0.35">
      <c r="A146" s="2">
        <v>145</v>
      </c>
      <c r="B146" s="3" t="s">
        <v>83</v>
      </c>
      <c r="C146" s="3" t="s">
        <v>30</v>
      </c>
      <c r="D146" s="3" t="s">
        <v>155</v>
      </c>
      <c r="E146" s="2">
        <v>340</v>
      </c>
      <c r="F146" s="2">
        <v>1</v>
      </c>
      <c r="G146" s="4">
        <v>95.05</v>
      </c>
      <c r="H146" s="3" t="s">
        <v>32</v>
      </c>
      <c r="I146" s="2">
        <v>0</v>
      </c>
      <c r="J146" s="4">
        <v>10259</v>
      </c>
      <c r="K146" s="5">
        <v>44.7</v>
      </c>
      <c r="L146" s="4">
        <v>1630</v>
      </c>
      <c r="M146" s="5">
        <v>7.1</v>
      </c>
      <c r="N146" s="4">
        <v>2550</v>
      </c>
      <c r="O146" s="5">
        <v>11.1</v>
      </c>
      <c r="P146" s="4">
        <v>2040</v>
      </c>
      <c r="Q146" s="5">
        <v>8.9</v>
      </c>
      <c r="R146" s="4">
        <v>1428</v>
      </c>
      <c r="S146" s="5">
        <v>6.2</v>
      </c>
      <c r="T146" s="4">
        <v>2880</v>
      </c>
      <c r="U146" s="5">
        <v>12.6</v>
      </c>
      <c r="V146" s="4">
        <v>1600</v>
      </c>
      <c r="W146" s="5">
        <v>7</v>
      </c>
      <c r="X146" s="4">
        <v>560</v>
      </c>
      <c r="Y146" s="5">
        <v>2.4</v>
      </c>
      <c r="Z146" s="4">
        <v>0</v>
      </c>
      <c r="AA146" s="5">
        <v>0</v>
      </c>
      <c r="AB146" s="4">
        <v>22387</v>
      </c>
      <c r="AC146" s="4">
        <v>22947</v>
      </c>
      <c r="AD146">
        <v>21000</v>
      </c>
      <c r="AE146" s="8">
        <f t="shared" si="11"/>
        <v>1947</v>
      </c>
      <c r="AF146">
        <f t="shared" si="10"/>
        <v>9.2714285714285707E-2</v>
      </c>
      <c r="AG146">
        <f t="shared" si="12"/>
        <v>0.09</v>
      </c>
      <c r="AH146" s="10">
        <v>22947</v>
      </c>
      <c r="AI146" s="12">
        <f t="shared" si="13"/>
        <v>1947</v>
      </c>
      <c r="AJ146">
        <f>(AH146-AD146)/AD146</f>
        <v>9.2714285714285707E-2</v>
      </c>
      <c r="AK146">
        <f>AF146-AJ146</f>
        <v>0</v>
      </c>
    </row>
    <row r="147" spans="1:37" x14ac:dyDescent="0.35">
      <c r="A147" s="2">
        <v>146</v>
      </c>
      <c r="B147" s="3" t="s">
        <v>156</v>
      </c>
      <c r="C147" s="3" t="s">
        <v>30</v>
      </c>
      <c r="D147" s="3" t="s">
        <v>155</v>
      </c>
      <c r="E147" s="2">
        <v>340</v>
      </c>
      <c r="F147" s="2">
        <v>1</v>
      </c>
      <c r="G147" s="4">
        <v>95.05</v>
      </c>
      <c r="H147" s="3" t="s">
        <v>32</v>
      </c>
      <c r="I147" s="2">
        <v>0</v>
      </c>
      <c r="J147" s="4">
        <v>10493</v>
      </c>
      <c r="K147" s="5">
        <v>44.1</v>
      </c>
      <c r="L147" s="4">
        <v>1650</v>
      </c>
      <c r="M147" s="5">
        <v>6.9</v>
      </c>
      <c r="N147" s="4">
        <v>2584</v>
      </c>
      <c r="O147" s="5">
        <v>10.9</v>
      </c>
      <c r="P147" s="4">
        <v>2040</v>
      </c>
      <c r="Q147" s="5">
        <v>8.6</v>
      </c>
      <c r="R147" s="4">
        <v>1462</v>
      </c>
      <c r="S147" s="5">
        <v>6.2</v>
      </c>
      <c r="T147" s="4">
        <v>3300</v>
      </c>
      <c r="U147" s="5">
        <v>13.9</v>
      </c>
      <c r="V147" s="4">
        <v>1660</v>
      </c>
      <c r="W147" s="5">
        <v>7</v>
      </c>
      <c r="X147" s="4">
        <v>580</v>
      </c>
      <c r="Y147" s="5">
        <v>2.4</v>
      </c>
      <c r="Z147" s="4">
        <v>0</v>
      </c>
      <c r="AA147" s="5">
        <v>0</v>
      </c>
      <c r="AB147" s="4">
        <v>23189</v>
      </c>
      <c r="AC147" s="4">
        <v>23769</v>
      </c>
      <c r="AD147">
        <v>23000</v>
      </c>
      <c r="AE147" s="8">
        <f t="shared" si="11"/>
        <v>769</v>
      </c>
      <c r="AF147">
        <f t="shared" si="10"/>
        <v>3.3434782608695653E-2</v>
      </c>
      <c r="AG147">
        <f t="shared" si="12"/>
        <v>0.03</v>
      </c>
      <c r="AH147" s="10">
        <v>23769</v>
      </c>
      <c r="AI147" s="12">
        <f t="shared" si="13"/>
        <v>769</v>
      </c>
      <c r="AJ147">
        <f>(AH147-AD147)/AD147</f>
        <v>3.3434782608695653E-2</v>
      </c>
      <c r="AK147">
        <f>AF147-AJ147</f>
        <v>0</v>
      </c>
    </row>
    <row r="148" spans="1:37" x14ac:dyDescent="0.35">
      <c r="A148" s="2">
        <v>147</v>
      </c>
      <c r="B148" s="3" t="s">
        <v>95</v>
      </c>
      <c r="C148" s="3" t="s">
        <v>30</v>
      </c>
      <c r="D148" s="3" t="s">
        <v>155</v>
      </c>
      <c r="E148" s="2">
        <v>340</v>
      </c>
      <c r="F148" s="2">
        <v>1</v>
      </c>
      <c r="G148" s="4">
        <v>95.05</v>
      </c>
      <c r="H148" s="3" t="s">
        <v>32</v>
      </c>
      <c r="I148" s="2">
        <v>0</v>
      </c>
      <c r="J148" s="4">
        <v>10845</v>
      </c>
      <c r="K148" s="5">
        <v>42.7</v>
      </c>
      <c r="L148" s="4">
        <v>1685</v>
      </c>
      <c r="M148" s="5">
        <v>6.6</v>
      </c>
      <c r="N148" s="4">
        <v>2686</v>
      </c>
      <c r="O148" s="5">
        <v>10.6</v>
      </c>
      <c r="P148" s="4">
        <v>2040</v>
      </c>
      <c r="Q148" s="5">
        <v>8</v>
      </c>
      <c r="R148" s="4">
        <v>1513</v>
      </c>
      <c r="S148" s="5">
        <v>6</v>
      </c>
      <c r="T148" s="4">
        <v>4248</v>
      </c>
      <c r="U148" s="5">
        <v>16.7</v>
      </c>
      <c r="V148" s="4">
        <v>1770</v>
      </c>
      <c r="W148" s="5">
        <v>7</v>
      </c>
      <c r="X148" s="4">
        <v>620</v>
      </c>
      <c r="Y148" s="5">
        <v>2.4</v>
      </c>
      <c r="Z148" s="4">
        <v>0</v>
      </c>
      <c r="AA148" s="5">
        <v>0</v>
      </c>
      <c r="AB148" s="4">
        <v>24787</v>
      </c>
      <c r="AC148" s="4">
        <v>25407</v>
      </c>
      <c r="AD148">
        <v>26000</v>
      </c>
      <c r="AE148" s="8">
        <f t="shared" si="11"/>
        <v>-593</v>
      </c>
      <c r="AF148">
        <f t="shared" si="10"/>
        <v>-2.2807692307692307E-2</v>
      </c>
      <c r="AG148">
        <f t="shared" si="12"/>
        <v>-0.02</v>
      </c>
      <c r="AH148" s="10">
        <v>25407</v>
      </c>
      <c r="AI148" s="12">
        <f t="shared" si="13"/>
        <v>-593</v>
      </c>
      <c r="AJ148">
        <f>(AH148-AD148)/AD148</f>
        <v>-2.2807692307692307E-2</v>
      </c>
      <c r="AK148">
        <f>AF148-AJ148</f>
        <v>0</v>
      </c>
    </row>
    <row r="149" spans="1:37" x14ac:dyDescent="0.35">
      <c r="A149" s="2">
        <v>148</v>
      </c>
      <c r="B149" s="3" t="s">
        <v>29</v>
      </c>
      <c r="C149" s="3" t="s">
        <v>30</v>
      </c>
      <c r="D149" s="3" t="s">
        <v>157</v>
      </c>
      <c r="E149" s="2">
        <v>1280</v>
      </c>
      <c r="F149" s="2">
        <v>2</v>
      </c>
      <c r="G149" s="4">
        <v>95.05</v>
      </c>
      <c r="H149" s="3" t="s">
        <v>32</v>
      </c>
      <c r="I149" s="2">
        <v>0</v>
      </c>
      <c r="J149" s="4">
        <v>28033</v>
      </c>
      <c r="K149" s="5">
        <v>54.6</v>
      </c>
      <c r="L149" s="4">
        <v>2930</v>
      </c>
      <c r="M149" s="5">
        <v>5.7</v>
      </c>
      <c r="N149" s="4">
        <v>7040</v>
      </c>
      <c r="O149" s="5">
        <v>13.7</v>
      </c>
      <c r="P149" s="4">
        <v>5760</v>
      </c>
      <c r="Q149" s="5">
        <v>11.2</v>
      </c>
      <c r="R149" s="4">
        <v>4096</v>
      </c>
      <c r="S149" s="5">
        <v>8</v>
      </c>
      <c r="T149" s="4">
        <v>1350</v>
      </c>
      <c r="U149" s="5">
        <v>2.6</v>
      </c>
      <c r="V149" s="4">
        <v>1100</v>
      </c>
      <c r="W149" s="5">
        <v>2.1</v>
      </c>
      <c r="X149" s="4">
        <v>1006</v>
      </c>
      <c r="Y149" s="5">
        <v>2</v>
      </c>
      <c r="Z149" s="4">
        <v>0</v>
      </c>
      <c r="AA149" s="5">
        <v>0</v>
      </c>
      <c r="AB149" s="4">
        <v>50309</v>
      </c>
      <c r="AC149" s="4">
        <v>51315</v>
      </c>
      <c r="AD149">
        <v>57000</v>
      </c>
      <c r="AE149" s="8">
        <f t="shared" si="11"/>
        <v>-5685</v>
      </c>
      <c r="AF149">
        <f t="shared" si="10"/>
        <v>-9.9736842105263152E-2</v>
      </c>
      <c r="AG149">
        <f t="shared" si="12"/>
        <v>-0.1</v>
      </c>
      <c r="AH149" s="10">
        <v>51315</v>
      </c>
      <c r="AI149" s="12">
        <f t="shared" si="13"/>
        <v>-5685</v>
      </c>
      <c r="AJ149">
        <f>(AH149-AD149)/AD149</f>
        <v>-9.9736842105263152E-2</v>
      </c>
      <c r="AK149">
        <f>AF149-AJ149</f>
        <v>0</v>
      </c>
    </row>
    <row r="150" spans="1:37" x14ac:dyDescent="0.35">
      <c r="A150" s="2">
        <v>149</v>
      </c>
      <c r="B150" s="3" t="s">
        <v>92</v>
      </c>
      <c r="C150" s="3" t="s">
        <v>30</v>
      </c>
      <c r="D150" s="3" t="s">
        <v>158</v>
      </c>
      <c r="E150" s="2">
        <v>1820</v>
      </c>
      <c r="F150" s="2">
        <v>2</v>
      </c>
      <c r="G150" s="4">
        <v>95.05</v>
      </c>
      <c r="H150" s="3" t="s">
        <v>32</v>
      </c>
      <c r="I150" s="2">
        <v>0</v>
      </c>
      <c r="J150" s="4">
        <v>85217</v>
      </c>
      <c r="K150" s="5">
        <v>55.1</v>
      </c>
      <c r="L150" s="4">
        <v>5630</v>
      </c>
      <c r="M150" s="5">
        <v>3.6</v>
      </c>
      <c r="N150" s="4">
        <v>20930</v>
      </c>
      <c r="O150" s="5">
        <v>13.5</v>
      </c>
      <c r="P150" s="4">
        <v>16380</v>
      </c>
      <c r="Q150" s="5">
        <v>10.6</v>
      </c>
      <c r="R150" s="4">
        <v>13104</v>
      </c>
      <c r="S150" s="5">
        <v>8.5</v>
      </c>
      <c r="T150" s="4">
        <v>6150</v>
      </c>
      <c r="U150" s="5">
        <v>4</v>
      </c>
      <c r="V150" s="4">
        <v>2800</v>
      </c>
      <c r="W150" s="5">
        <v>1.8</v>
      </c>
      <c r="X150" s="4">
        <v>4506</v>
      </c>
      <c r="Y150" s="5">
        <v>2.9</v>
      </c>
      <c r="Z150" s="4">
        <v>0</v>
      </c>
      <c r="AA150" s="5">
        <v>0</v>
      </c>
      <c r="AB150" s="4">
        <v>150211</v>
      </c>
      <c r="AC150" s="4">
        <v>154717</v>
      </c>
      <c r="AD150">
        <v>139100</v>
      </c>
      <c r="AE150" s="8">
        <f t="shared" si="11"/>
        <v>15617</v>
      </c>
      <c r="AF150">
        <f t="shared" si="10"/>
        <v>0.11227174694464415</v>
      </c>
      <c r="AG150">
        <f t="shared" si="12"/>
        <v>0.11</v>
      </c>
      <c r="AH150" s="10">
        <v>185660</v>
      </c>
      <c r="AI150" s="12">
        <f t="shared" si="13"/>
        <v>46560</v>
      </c>
      <c r="AJ150">
        <f>(AH150-AD150)/AD150</f>
        <v>0.33472322070452909</v>
      </c>
      <c r="AK150">
        <f>AF150-AJ150</f>
        <v>-0.22245147375988494</v>
      </c>
    </row>
    <row r="151" spans="1:37" x14ac:dyDescent="0.35">
      <c r="A151" s="2">
        <v>150</v>
      </c>
      <c r="B151" s="3" t="s">
        <v>33</v>
      </c>
      <c r="C151" s="3" t="s">
        <v>30</v>
      </c>
      <c r="D151" s="3" t="s">
        <v>159</v>
      </c>
      <c r="E151" s="2">
        <v>1680</v>
      </c>
      <c r="F151" s="2">
        <v>2</v>
      </c>
      <c r="G151" s="4">
        <v>95.05</v>
      </c>
      <c r="H151" s="3" t="s">
        <v>32</v>
      </c>
      <c r="I151" s="2">
        <v>0</v>
      </c>
      <c r="J151" s="4">
        <v>24013</v>
      </c>
      <c r="K151" s="5">
        <v>56.1</v>
      </c>
      <c r="L151" s="4">
        <v>2200</v>
      </c>
      <c r="M151" s="5">
        <v>5.0999999999999996</v>
      </c>
      <c r="N151" s="4">
        <v>6048</v>
      </c>
      <c r="O151" s="5">
        <v>14.1</v>
      </c>
      <c r="P151" s="4">
        <v>4200</v>
      </c>
      <c r="Q151" s="5">
        <v>9.8000000000000007</v>
      </c>
      <c r="R151" s="4">
        <v>3864</v>
      </c>
      <c r="S151" s="5">
        <v>9</v>
      </c>
      <c r="T151" s="4">
        <v>863</v>
      </c>
      <c r="U151" s="5">
        <v>2</v>
      </c>
      <c r="V151" s="4">
        <v>760</v>
      </c>
      <c r="W151" s="5">
        <v>1.8</v>
      </c>
      <c r="X151" s="4">
        <v>839</v>
      </c>
      <c r="Y151" s="5">
        <v>2</v>
      </c>
      <c r="Z151" s="4">
        <v>0</v>
      </c>
      <c r="AA151" s="5">
        <v>0</v>
      </c>
      <c r="AB151" s="4">
        <v>41948</v>
      </c>
      <c r="AC151" s="4">
        <v>42787</v>
      </c>
      <c r="AD151">
        <v>69550</v>
      </c>
      <c r="AE151" s="8">
        <f t="shared" si="11"/>
        <v>-26763</v>
      </c>
      <c r="AF151">
        <f t="shared" si="10"/>
        <v>-0.38480230050323511</v>
      </c>
      <c r="AG151">
        <f t="shared" si="12"/>
        <v>-0.38</v>
      </c>
      <c r="AH151" s="10">
        <v>51344</v>
      </c>
      <c r="AI151" s="12">
        <f t="shared" si="13"/>
        <v>-18206</v>
      </c>
      <c r="AJ151">
        <f>(AH151-AD151)/AD151</f>
        <v>-0.26176851186196981</v>
      </c>
      <c r="AK151">
        <f>AF151-AJ151</f>
        <v>-0.1230337886412653</v>
      </c>
    </row>
    <row r="152" spans="1:37" x14ac:dyDescent="0.35">
      <c r="A152" s="2">
        <v>151</v>
      </c>
      <c r="B152" s="3" t="s">
        <v>119</v>
      </c>
      <c r="C152" s="3" t="s">
        <v>30</v>
      </c>
      <c r="D152" s="3" t="s">
        <v>82</v>
      </c>
      <c r="E152" s="2">
        <v>1650</v>
      </c>
      <c r="F152" s="2">
        <v>2</v>
      </c>
      <c r="G152" s="4">
        <v>95.05</v>
      </c>
      <c r="H152" s="3" t="s">
        <v>32</v>
      </c>
      <c r="I152" s="2">
        <v>0</v>
      </c>
      <c r="J152" s="4">
        <v>64807</v>
      </c>
      <c r="K152" s="5">
        <v>54.2</v>
      </c>
      <c r="L152" s="4">
        <v>4650</v>
      </c>
      <c r="M152" s="5">
        <v>3.9</v>
      </c>
      <c r="N152" s="4">
        <v>16500</v>
      </c>
      <c r="O152" s="5">
        <v>13.8</v>
      </c>
      <c r="P152" s="4">
        <v>12375</v>
      </c>
      <c r="Q152" s="5">
        <v>10.3</v>
      </c>
      <c r="R152" s="4">
        <v>9900</v>
      </c>
      <c r="S152" s="5">
        <v>8.3000000000000007</v>
      </c>
      <c r="T152" s="4">
        <v>5400</v>
      </c>
      <c r="U152" s="5">
        <v>4.5</v>
      </c>
      <c r="V152" s="4">
        <v>2500</v>
      </c>
      <c r="W152" s="5">
        <v>2.1</v>
      </c>
      <c r="X152" s="4">
        <v>3484</v>
      </c>
      <c r="Y152" s="5">
        <v>2.9</v>
      </c>
      <c r="Z152" s="4">
        <v>0</v>
      </c>
      <c r="AA152" s="5">
        <v>0</v>
      </c>
      <c r="AB152" s="4">
        <v>116132</v>
      </c>
      <c r="AC152" s="4">
        <v>119616</v>
      </c>
      <c r="AD152">
        <v>115560</v>
      </c>
      <c r="AE152" s="8">
        <f t="shared" si="11"/>
        <v>4056</v>
      </c>
      <c r="AF152">
        <f t="shared" si="10"/>
        <v>3.5098650051921081E-2</v>
      </c>
      <c r="AG152">
        <f t="shared" si="12"/>
        <v>0.04</v>
      </c>
      <c r="AH152" s="10">
        <v>113635</v>
      </c>
      <c r="AI152" s="12">
        <f t="shared" si="13"/>
        <v>-1925</v>
      </c>
      <c r="AJ152">
        <f>(AH152-AD152)/AD152</f>
        <v>-1.6658013153340256E-2</v>
      </c>
      <c r="AK152">
        <f>AF152-AJ152</f>
        <v>5.1756663205261337E-2</v>
      </c>
    </row>
    <row r="153" spans="1:37" x14ac:dyDescent="0.35">
      <c r="A153" s="2">
        <v>152</v>
      </c>
      <c r="B153" s="3" t="s">
        <v>160</v>
      </c>
      <c r="C153" s="3" t="s">
        <v>30</v>
      </c>
      <c r="D153" s="3" t="s">
        <v>161</v>
      </c>
      <c r="E153" s="2">
        <v>1700</v>
      </c>
      <c r="F153" s="2">
        <v>2</v>
      </c>
      <c r="G153" s="4">
        <v>95.05</v>
      </c>
      <c r="H153" s="3" t="s">
        <v>32</v>
      </c>
      <c r="I153" s="2">
        <v>0</v>
      </c>
      <c r="J153" s="4">
        <v>41970</v>
      </c>
      <c r="K153" s="5">
        <v>56.8</v>
      </c>
      <c r="L153" s="4">
        <v>3100</v>
      </c>
      <c r="M153" s="5">
        <v>4.2</v>
      </c>
      <c r="N153" s="4">
        <v>10200</v>
      </c>
      <c r="O153" s="5">
        <v>13.8</v>
      </c>
      <c r="P153" s="4">
        <v>7650</v>
      </c>
      <c r="Q153" s="5">
        <v>10.3</v>
      </c>
      <c r="R153" s="4">
        <v>5950</v>
      </c>
      <c r="S153" s="5">
        <v>8</v>
      </c>
      <c r="T153" s="4">
        <v>2400</v>
      </c>
      <c r="U153" s="5">
        <v>3.2</v>
      </c>
      <c r="V153" s="4">
        <v>1200</v>
      </c>
      <c r="W153" s="5">
        <v>1.6</v>
      </c>
      <c r="X153" s="4">
        <v>1449</v>
      </c>
      <c r="Y153" s="5">
        <v>2</v>
      </c>
      <c r="Z153" s="4">
        <v>0</v>
      </c>
      <c r="AA153" s="5">
        <v>0</v>
      </c>
      <c r="AB153" s="4">
        <v>72470</v>
      </c>
      <c r="AC153" s="4">
        <v>73919</v>
      </c>
      <c r="AD153">
        <v>94160</v>
      </c>
      <c r="AE153" s="8">
        <f t="shared" si="11"/>
        <v>-20241</v>
      </c>
      <c r="AF153">
        <f t="shared" si="10"/>
        <v>-0.21496389124893797</v>
      </c>
      <c r="AG153">
        <f t="shared" si="12"/>
        <v>-0.21</v>
      </c>
      <c r="AH153" s="10">
        <v>81311</v>
      </c>
      <c r="AI153" s="12">
        <f t="shared" si="13"/>
        <v>-12849</v>
      </c>
      <c r="AJ153">
        <f>(AH153-AD153)/AD153</f>
        <v>-0.13645921835174171</v>
      </c>
      <c r="AK153">
        <f>AF153-AJ153</f>
        <v>-7.8504672897196259E-2</v>
      </c>
    </row>
    <row r="154" spans="1:37" x14ac:dyDescent="0.35">
      <c r="A154" s="2">
        <v>153</v>
      </c>
      <c r="B154" s="3" t="s">
        <v>92</v>
      </c>
      <c r="C154" s="3" t="s">
        <v>30</v>
      </c>
      <c r="D154" s="3" t="s">
        <v>161</v>
      </c>
      <c r="E154" s="2">
        <v>1700</v>
      </c>
      <c r="F154" s="2">
        <v>2</v>
      </c>
      <c r="G154" s="4">
        <v>95.05</v>
      </c>
      <c r="H154" s="3" t="s">
        <v>32</v>
      </c>
      <c r="I154" s="2">
        <v>0</v>
      </c>
      <c r="J154" s="4">
        <v>79599</v>
      </c>
      <c r="K154" s="5">
        <v>54.7</v>
      </c>
      <c r="L154" s="4">
        <v>5630</v>
      </c>
      <c r="M154" s="5">
        <v>3.9</v>
      </c>
      <c r="N154" s="4">
        <v>19550</v>
      </c>
      <c r="O154" s="5">
        <v>13.4</v>
      </c>
      <c r="P154" s="4">
        <v>15300</v>
      </c>
      <c r="Q154" s="5">
        <v>10.5</v>
      </c>
      <c r="R154" s="4">
        <v>12240</v>
      </c>
      <c r="S154" s="5">
        <v>8.4</v>
      </c>
      <c r="T154" s="4">
        <v>6150</v>
      </c>
      <c r="U154" s="5">
        <v>4.2</v>
      </c>
      <c r="V154" s="4">
        <v>2800</v>
      </c>
      <c r="W154" s="5">
        <v>1.9</v>
      </c>
      <c r="X154" s="4">
        <v>4238</v>
      </c>
      <c r="Y154" s="5">
        <v>2.9</v>
      </c>
      <c r="Z154" s="4">
        <v>0</v>
      </c>
      <c r="AA154" s="5">
        <v>0</v>
      </c>
      <c r="AB154" s="4">
        <v>141269</v>
      </c>
      <c r="AC154" s="4">
        <v>145507</v>
      </c>
      <c r="AD154">
        <v>130540</v>
      </c>
      <c r="AE154" s="8">
        <f t="shared" si="11"/>
        <v>14967</v>
      </c>
      <c r="AF154">
        <f t="shared" si="10"/>
        <v>0.11465451202696492</v>
      </c>
      <c r="AG154">
        <f t="shared" si="12"/>
        <v>0.11</v>
      </c>
      <c r="AH154" s="10">
        <v>160058</v>
      </c>
      <c r="AI154" s="12">
        <f t="shared" si="13"/>
        <v>29518</v>
      </c>
      <c r="AJ154">
        <f>(AH154-AD154)/AD154</f>
        <v>0.2261222613758235</v>
      </c>
      <c r="AK154">
        <f>AF154-AJ154</f>
        <v>-0.11146774934885859</v>
      </c>
    </row>
    <row r="155" spans="1:37" x14ac:dyDescent="0.35">
      <c r="A155" s="2">
        <v>154</v>
      </c>
      <c r="B155" s="3" t="s">
        <v>119</v>
      </c>
      <c r="C155" s="3" t="s">
        <v>30</v>
      </c>
      <c r="D155" s="3" t="s">
        <v>162</v>
      </c>
      <c r="E155" s="2">
        <v>1780</v>
      </c>
      <c r="F155" s="2">
        <v>2</v>
      </c>
      <c r="G155" s="4">
        <v>95.05</v>
      </c>
      <c r="H155" s="3" t="s">
        <v>32</v>
      </c>
      <c r="I155" s="2">
        <v>0</v>
      </c>
      <c r="J155" s="4">
        <v>69913</v>
      </c>
      <c r="K155" s="5">
        <v>54.6</v>
      </c>
      <c r="L155" s="4">
        <v>4650</v>
      </c>
      <c r="M155" s="5">
        <v>3.6</v>
      </c>
      <c r="N155" s="4">
        <v>17800</v>
      </c>
      <c r="O155" s="5">
        <v>13.9</v>
      </c>
      <c r="P155" s="4">
        <v>13350</v>
      </c>
      <c r="Q155" s="5">
        <v>10.4</v>
      </c>
      <c r="R155" s="4">
        <v>10680</v>
      </c>
      <c r="S155" s="5">
        <v>8.3000000000000007</v>
      </c>
      <c r="T155" s="4">
        <v>5400</v>
      </c>
      <c r="U155" s="5">
        <v>4.2</v>
      </c>
      <c r="V155" s="4">
        <v>2500</v>
      </c>
      <c r="W155" s="5">
        <v>2</v>
      </c>
      <c r="X155" s="4">
        <v>3729</v>
      </c>
      <c r="Y155" s="5">
        <v>2.9</v>
      </c>
      <c r="Z155" s="4">
        <v>0</v>
      </c>
      <c r="AA155" s="5">
        <v>0</v>
      </c>
      <c r="AB155" s="4">
        <v>124293</v>
      </c>
      <c r="AC155" s="4">
        <v>128022</v>
      </c>
      <c r="AD155">
        <v>117700</v>
      </c>
      <c r="AE155" s="8">
        <f t="shared" si="11"/>
        <v>10322</v>
      </c>
      <c r="AF155">
        <f t="shared" si="10"/>
        <v>8.7697536108751056E-2</v>
      </c>
      <c r="AG155">
        <f t="shared" si="12"/>
        <v>0.09</v>
      </c>
      <c r="AH155" s="10">
        <v>121621</v>
      </c>
      <c r="AI155" s="12">
        <f t="shared" si="13"/>
        <v>3921</v>
      </c>
      <c r="AJ155">
        <f>(AH155-AD155)/AD155</f>
        <v>3.3313508920985557E-2</v>
      </c>
      <c r="AK155">
        <f>AF155-AJ155</f>
        <v>5.4384027187765499E-2</v>
      </c>
    </row>
    <row r="156" spans="1:37" x14ac:dyDescent="0.35">
      <c r="A156" s="2">
        <v>155</v>
      </c>
      <c r="B156" s="3" t="s">
        <v>92</v>
      </c>
      <c r="C156" s="3" t="s">
        <v>30</v>
      </c>
      <c r="D156" s="3" t="s">
        <v>162</v>
      </c>
      <c r="E156" s="2">
        <v>1780</v>
      </c>
      <c r="F156" s="2">
        <v>2</v>
      </c>
      <c r="G156" s="4">
        <v>95.05</v>
      </c>
      <c r="H156" s="3" t="s">
        <v>32</v>
      </c>
      <c r="I156" s="2">
        <v>0</v>
      </c>
      <c r="J156" s="4">
        <v>83344</v>
      </c>
      <c r="K156" s="5">
        <v>55</v>
      </c>
      <c r="L156" s="4">
        <v>5630</v>
      </c>
      <c r="M156" s="5">
        <v>3.7</v>
      </c>
      <c r="N156" s="4">
        <v>20470</v>
      </c>
      <c r="O156" s="5">
        <v>13.5</v>
      </c>
      <c r="P156" s="4">
        <v>16020</v>
      </c>
      <c r="Q156" s="5">
        <v>10.6</v>
      </c>
      <c r="R156" s="4">
        <v>12816</v>
      </c>
      <c r="S156" s="5">
        <v>8.5</v>
      </c>
      <c r="T156" s="4">
        <v>6150</v>
      </c>
      <c r="U156" s="5">
        <v>4.0999999999999996</v>
      </c>
      <c r="V156" s="4">
        <v>2800</v>
      </c>
      <c r="W156" s="5">
        <v>1.8</v>
      </c>
      <c r="X156" s="4">
        <v>4417</v>
      </c>
      <c r="Y156" s="5">
        <v>2.9</v>
      </c>
      <c r="Z156" s="4">
        <v>0</v>
      </c>
      <c r="AA156" s="5">
        <v>0</v>
      </c>
      <c r="AB156" s="4">
        <v>147230</v>
      </c>
      <c r="AC156" s="4">
        <v>151647</v>
      </c>
      <c r="AD156">
        <v>119840</v>
      </c>
      <c r="AE156" s="8">
        <f t="shared" si="11"/>
        <v>31807</v>
      </c>
      <c r="AF156">
        <f t="shared" si="10"/>
        <v>0.26541221628838452</v>
      </c>
      <c r="AG156">
        <f t="shared" si="12"/>
        <v>0.27</v>
      </c>
      <c r="AH156" s="10">
        <v>144065</v>
      </c>
      <c r="AI156" s="12">
        <f t="shared" si="13"/>
        <v>24225</v>
      </c>
      <c r="AJ156">
        <f>(AH156-AD156)/AD156</f>
        <v>0.20214452603471295</v>
      </c>
      <c r="AK156">
        <f>AF156-AJ156</f>
        <v>6.3267690253671571E-2</v>
      </c>
    </row>
    <row r="157" spans="1:37" x14ac:dyDescent="0.35">
      <c r="A157" s="2">
        <v>156</v>
      </c>
      <c r="B157" s="3" t="s">
        <v>92</v>
      </c>
      <c r="C157" s="3" t="s">
        <v>30</v>
      </c>
      <c r="D157" s="3" t="s">
        <v>84</v>
      </c>
      <c r="E157" s="2">
        <v>1700</v>
      </c>
      <c r="F157" s="2">
        <v>2</v>
      </c>
      <c r="G157" s="4">
        <v>95.05</v>
      </c>
      <c r="H157" s="3" t="s">
        <v>32</v>
      </c>
      <c r="I157" s="2">
        <v>0</v>
      </c>
      <c r="J157" s="4">
        <v>79599</v>
      </c>
      <c r="K157" s="5">
        <v>54.7</v>
      </c>
      <c r="L157" s="4">
        <v>5630</v>
      </c>
      <c r="M157" s="5">
        <v>3.9</v>
      </c>
      <c r="N157" s="4">
        <v>19550</v>
      </c>
      <c r="O157" s="5">
        <v>13.4</v>
      </c>
      <c r="P157" s="4">
        <v>15300</v>
      </c>
      <c r="Q157" s="5">
        <v>10.5</v>
      </c>
      <c r="R157" s="4">
        <v>12240</v>
      </c>
      <c r="S157" s="5">
        <v>8.4</v>
      </c>
      <c r="T157" s="4">
        <v>6150</v>
      </c>
      <c r="U157" s="5">
        <v>4.2</v>
      </c>
      <c r="V157" s="4">
        <v>2800</v>
      </c>
      <c r="W157" s="5">
        <v>1.9</v>
      </c>
      <c r="X157" s="4">
        <v>4238</v>
      </c>
      <c r="Y157" s="5">
        <v>2.9</v>
      </c>
      <c r="Z157" s="4">
        <v>0</v>
      </c>
      <c r="AA157" s="5">
        <v>0</v>
      </c>
      <c r="AB157" s="4">
        <v>141269</v>
      </c>
      <c r="AC157" s="4">
        <v>145507</v>
      </c>
      <c r="AD157">
        <v>131000</v>
      </c>
      <c r="AE157" s="8">
        <f t="shared" si="11"/>
        <v>14507</v>
      </c>
      <c r="AF157">
        <f t="shared" si="10"/>
        <v>0.11074045801526718</v>
      </c>
      <c r="AG157">
        <f t="shared" si="12"/>
        <v>0.11</v>
      </c>
      <c r="AH157" s="10">
        <v>145507</v>
      </c>
      <c r="AI157" s="12">
        <f t="shared" si="13"/>
        <v>14507</v>
      </c>
      <c r="AJ157">
        <f>(AH157-AD157)/AD157</f>
        <v>0.11074045801526718</v>
      </c>
      <c r="AK157">
        <f>AF157-AJ157</f>
        <v>0</v>
      </c>
    </row>
    <row r="158" spans="1:37" x14ac:dyDescent="0.35">
      <c r="A158" s="2">
        <v>157</v>
      </c>
      <c r="B158" s="3" t="s">
        <v>92</v>
      </c>
      <c r="C158" s="3" t="s">
        <v>30</v>
      </c>
      <c r="D158" s="3" t="s">
        <v>163</v>
      </c>
      <c r="E158" s="2">
        <v>1870</v>
      </c>
      <c r="F158" s="2">
        <v>2</v>
      </c>
      <c r="G158" s="4">
        <v>95.05</v>
      </c>
      <c r="H158" s="3" t="s">
        <v>32</v>
      </c>
      <c r="I158" s="2">
        <v>0</v>
      </c>
      <c r="J158" s="4">
        <v>87558</v>
      </c>
      <c r="K158" s="5">
        <v>55.2</v>
      </c>
      <c r="L158" s="4">
        <v>5630</v>
      </c>
      <c r="M158" s="5">
        <v>3.6</v>
      </c>
      <c r="N158" s="4">
        <v>21505</v>
      </c>
      <c r="O158" s="5">
        <v>13.6</v>
      </c>
      <c r="P158" s="4">
        <v>16830</v>
      </c>
      <c r="Q158" s="5">
        <v>10.6</v>
      </c>
      <c r="R158" s="4">
        <v>13464</v>
      </c>
      <c r="S158" s="5">
        <v>8.5</v>
      </c>
      <c r="T158" s="4">
        <v>6150</v>
      </c>
      <c r="U158" s="5">
        <v>3.9</v>
      </c>
      <c r="V158" s="4">
        <v>2800</v>
      </c>
      <c r="W158" s="5">
        <v>1.8</v>
      </c>
      <c r="X158" s="4">
        <v>4618</v>
      </c>
      <c r="Y158" s="5">
        <v>2.9</v>
      </c>
      <c r="Z158" s="4">
        <v>0</v>
      </c>
      <c r="AA158" s="5">
        <v>0</v>
      </c>
      <c r="AB158" s="4">
        <v>153937</v>
      </c>
      <c r="AC158" s="4">
        <v>158555</v>
      </c>
      <c r="AD158">
        <v>136960</v>
      </c>
      <c r="AE158" s="8">
        <f t="shared" si="11"/>
        <v>21595</v>
      </c>
      <c r="AF158">
        <f t="shared" si="10"/>
        <v>0.15767377336448599</v>
      </c>
      <c r="AG158">
        <f t="shared" si="12"/>
        <v>0.16</v>
      </c>
      <c r="AH158" s="10">
        <v>150627</v>
      </c>
      <c r="AI158" s="12">
        <f t="shared" si="13"/>
        <v>13667</v>
      </c>
      <c r="AJ158">
        <f>(AH158-AD158)/AD158</f>
        <v>9.9788259345794397E-2</v>
      </c>
      <c r="AK158">
        <f>AF158-AJ158</f>
        <v>5.7885514018691589E-2</v>
      </c>
    </row>
    <row r="159" spans="1:37" x14ac:dyDescent="0.35">
      <c r="A159" s="2">
        <v>158</v>
      </c>
      <c r="B159" s="3" t="s">
        <v>92</v>
      </c>
      <c r="C159" s="3" t="s">
        <v>30</v>
      </c>
      <c r="D159" s="3" t="s">
        <v>164</v>
      </c>
      <c r="E159" s="2">
        <v>1720</v>
      </c>
      <c r="F159" s="2">
        <v>2</v>
      </c>
      <c r="G159" s="4">
        <v>95.05</v>
      </c>
      <c r="H159" s="3" t="s">
        <v>32</v>
      </c>
      <c r="I159" s="2">
        <v>0</v>
      </c>
      <c r="J159" s="4">
        <v>80535</v>
      </c>
      <c r="K159" s="5">
        <v>54.8</v>
      </c>
      <c r="L159" s="4">
        <v>5630</v>
      </c>
      <c r="M159" s="5">
        <v>3.8</v>
      </c>
      <c r="N159" s="4">
        <v>19780</v>
      </c>
      <c r="O159" s="5">
        <v>13.5</v>
      </c>
      <c r="P159" s="4">
        <v>15480</v>
      </c>
      <c r="Q159" s="5">
        <v>10.5</v>
      </c>
      <c r="R159" s="4">
        <v>12384</v>
      </c>
      <c r="S159" s="5">
        <v>8.4</v>
      </c>
      <c r="T159" s="4">
        <v>6150</v>
      </c>
      <c r="U159" s="5">
        <v>4.2</v>
      </c>
      <c r="V159" s="4">
        <v>2800</v>
      </c>
      <c r="W159" s="5">
        <v>1.9</v>
      </c>
      <c r="X159" s="4">
        <v>4283</v>
      </c>
      <c r="Y159" s="5">
        <v>2.9</v>
      </c>
      <c r="Z159" s="4">
        <v>0</v>
      </c>
      <c r="AA159" s="5">
        <v>0</v>
      </c>
      <c r="AB159" s="4">
        <v>142759</v>
      </c>
      <c r="AC159" s="4">
        <v>147042</v>
      </c>
      <c r="AD159">
        <v>134820</v>
      </c>
      <c r="AE159" s="8">
        <f t="shared" si="11"/>
        <v>12222</v>
      </c>
      <c r="AF159">
        <f t="shared" si="10"/>
        <v>9.065420560747664E-2</v>
      </c>
      <c r="AG159">
        <f t="shared" si="12"/>
        <v>0.09</v>
      </c>
      <c r="AH159" s="10">
        <v>176450</v>
      </c>
      <c r="AI159" s="12">
        <f t="shared" si="13"/>
        <v>41630</v>
      </c>
      <c r="AJ159">
        <f>(AH159-AD159)/AD159</f>
        <v>0.30878207981011718</v>
      </c>
      <c r="AK159">
        <f>AF159-AJ159</f>
        <v>-0.21812787420264054</v>
      </c>
    </row>
    <row r="160" spans="1:37" x14ac:dyDescent="0.35">
      <c r="A160" s="2">
        <v>159</v>
      </c>
      <c r="B160" s="3" t="s">
        <v>92</v>
      </c>
      <c r="C160" s="3" t="s">
        <v>30</v>
      </c>
      <c r="D160" s="3" t="s">
        <v>165</v>
      </c>
      <c r="E160" s="2">
        <v>1870</v>
      </c>
      <c r="F160" s="2">
        <v>2</v>
      </c>
      <c r="G160" s="4">
        <v>95.05</v>
      </c>
      <c r="H160" s="3" t="s">
        <v>32</v>
      </c>
      <c r="I160" s="2">
        <v>0</v>
      </c>
      <c r="J160" s="4">
        <v>87558</v>
      </c>
      <c r="K160" s="5">
        <v>55.2</v>
      </c>
      <c r="L160" s="4">
        <v>5630</v>
      </c>
      <c r="M160" s="5">
        <v>3.6</v>
      </c>
      <c r="N160" s="4">
        <v>21505</v>
      </c>
      <c r="O160" s="5">
        <v>13.6</v>
      </c>
      <c r="P160" s="4">
        <v>16830</v>
      </c>
      <c r="Q160" s="5">
        <v>10.6</v>
      </c>
      <c r="R160" s="4">
        <v>13464</v>
      </c>
      <c r="S160" s="5">
        <v>8.5</v>
      </c>
      <c r="T160" s="4">
        <v>6150</v>
      </c>
      <c r="U160" s="5">
        <v>3.9</v>
      </c>
      <c r="V160" s="4">
        <v>2800</v>
      </c>
      <c r="W160" s="5">
        <v>1.8</v>
      </c>
      <c r="X160" s="4">
        <v>4618</v>
      </c>
      <c r="Y160" s="5">
        <v>2.9</v>
      </c>
      <c r="Z160" s="4">
        <v>0</v>
      </c>
      <c r="AA160" s="5">
        <v>0</v>
      </c>
      <c r="AB160" s="4">
        <v>153937</v>
      </c>
      <c r="AC160" s="4">
        <v>158555</v>
      </c>
      <c r="AD160">
        <v>136960</v>
      </c>
      <c r="AE160" s="8">
        <f t="shared" si="11"/>
        <v>21595</v>
      </c>
      <c r="AF160">
        <f t="shared" si="10"/>
        <v>0.15767377336448599</v>
      </c>
      <c r="AG160">
        <f t="shared" si="12"/>
        <v>0.16</v>
      </c>
      <c r="AH160" s="10">
        <v>158555</v>
      </c>
      <c r="AI160" s="12">
        <f t="shared" si="13"/>
        <v>21595</v>
      </c>
      <c r="AJ160">
        <f>(AH160-AD160)/AD160</f>
        <v>0.15767377336448599</v>
      </c>
      <c r="AK160">
        <f>AF160-AJ160</f>
        <v>0</v>
      </c>
    </row>
    <row r="161" spans="1:37" x14ac:dyDescent="0.35">
      <c r="A161" s="2">
        <v>160</v>
      </c>
      <c r="B161" s="3" t="s">
        <v>92</v>
      </c>
      <c r="C161" s="3" t="s">
        <v>30</v>
      </c>
      <c r="D161" s="3" t="s">
        <v>166</v>
      </c>
      <c r="E161" s="2">
        <v>1830</v>
      </c>
      <c r="F161" s="2">
        <v>2</v>
      </c>
      <c r="G161" s="4">
        <v>95.05</v>
      </c>
      <c r="H161" s="3" t="s">
        <v>32</v>
      </c>
      <c r="I161" s="2">
        <v>0</v>
      </c>
      <c r="J161" s="4">
        <v>85685</v>
      </c>
      <c r="K161" s="5">
        <v>55.1</v>
      </c>
      <c r="L161" s="4">
        <v>5630</v>
      </c>
      <c r="M161" s="5">
        <v>3.6</v>
      </c>
      <c r="N161" s="4">
        <v>21045</v>
      </c>
      <c r="O161" s="5">
        <v>13.5</v>
      </c>
      <c r="P161" s="4">
        <v>16470</v>
      </c>
      <c r="Q161" s="5">
        <v>10.6</v>
      </c>
      <c r="R161" s="4">
        <v>13176</v>
      </c>
      <c r="S161" s="5">
        <v>8.5</v>
      </c>
      <c r="T161" s="4">
        <v>6150</v>
      </c>
      <c r="U161" s="5">
        <v>4</v>
      </c>
      <c r="V161" s="4">
        <v>2800</v>
      </c>
      <c r="W161" s="5">
        <v>1.8</v>
      </c>
      <c r="X161" s="4">
        <v>4529</v>
      </c>
      <c r="Y161" s="5">
        <v>2.9</v>
      </c>
      <c r="Z161" s="4">
        <v>0</v>
      </c>
      <c r="AA161" s="5">
        <v>0</v>
      </c>
      <c r="AB161" s="4">
        <v>150956</v>
      </c>
      <c r="AC161" s="4">
        <v>155485</v>
      </c>
      <c r="AD161">
        <v>136960</v>
      </c>
      <c r="AE161" s="8">
        <f t="shared" si="11"/>
        <v>18525</v>
      </c>
      <c r="AF161">
        <f t="shared" si="10"/>
        <v>0.13525846962616822</v>
      </c>
      <c r="AG161">
        <f t="shared" si="12"/>
        <v>0.14000000000000001</v>
      </c>
      <c r="AH161" s="10">
        <v>155485</v>
      </c>
      <c r="AI161" s="12">
        <f t="shared" si="13"/>
        <v>18525</v>
      </c>
      <c r="AJ161">
        <f>(AH161-AD161)/AD161</f>
        <v>0.13525846962616822</v>
      </c>
      <c r="AK161">
        <f>AF161-AJ161</f>
        <v>0</v>
      </c>
    </row>
    <row r="162" spans="1:37" x14ac:dyDescent="0.35">
      <c r="A162" s="2">
        <v>161</v>
      </c>
      <c r="B162" s="3" t="s">
        <v>92</v>
      </c>
      <c r="C162" s="3" t="s">
        <v>30</v>
      </c>
      <c r="D162" s="3" t="s">
        <v>167</v>
      </c>
      <c r="E162" s="2">
        <v>2060</v>
      </c>
      <c r="F162" s="2">
        <v>2</v>
      </c>
      <c r="G162" s="4">
        <v>95.05</v>
      </c>
      <c r="H162" s="3" t="s">
        <v>32</v>
      </c>
      <c r="I162" s="2">
        <v>0</v>
      </c>
      <c r="J162" s="4">
        <v>96455</v>
      </c>
      <c r="K162" s="5">
        <v>55.7</v>
      </c>
      <c r="L162" s="4">
        <v>5630</v>
      </c>
      <c r="M162" s="5">
        <v>3.3</v>
      </c>
      <c r="N162" s="4">
        <v>23690</v>
      </c>
      <c r="O162" s="5">
        <v>13.7</v>
      </c>
      <c r="P162" s="4">
        <v>18540</v>
      </c>
      <c r="Q162" s="5">
        <v>10.7</v>
      </c>
      <c r="R162" s="4">
        <v>14832</v>
      </c>
      <c r="S162" s="5">
        <v>8.6</v>
      </c>
      <c r="T162" s="4">
        <v>6150</v>
      </c>
      <c r="U162" s="5">
        <v>3.6</v>
      </c>
      <c r="V162" s="4">
        <v>2800</v>
      </c>
      <c r="W162" s="5">
        <v>1.6</v>
      </c>
      <c r="X162" s="4">
        <v>5043</v>
      </c>
      <c r="Y162" s="5">
        <v>2.9</v>
      </c>
      <c r="Z162" s="4">
        <v>0</v>
      </c>
      <c r="AA162" s="5">
        <v>0</v>
      </c>
      <c r="AB162" s="4">
        <v>168097</v>
      </c>
      <c r="AC162" s="4">
        <v>173140</v>
      </c>
      <c r="AD162">
        <v>136960</v>
      </c>
      <c r="AE162" s="8">
        <f t="shared" si="11"/>
        <v>36180</v>
      </c>
      <c r="AF162">
        <f t="shared" ref="AF162:AF193" si="14">AE162/AD162</f>
        <v>0.26416471962616822</v>
      </c>
      <c r="AG162">
        <f t="shared" si="12"/>
        <v>0.26</v>
      </c>
      <c r="AH162" s="10">
        <v>173140</v>
      </c>
      <c r="AI162" s="12">
        <f t="shared" si="13"/>
        <v>36180</v>
      </c>
      <c r="AJ162">
        <f>(AH162-AD162)/AD162</f>
        <v>0.26416471962616822</v>
      </c>
      <c r="AK162">
        <f>AF162-AJ162</f>
        <v>0</v>
      </c>
    </row>
    <row r="163" spans="1:37" x14ac:dyDescent="0.35">
      <c r="A163" s="2">
        <v>162</v>
      </c>
      <c r="B163" s="3" t="s">
        <v>92</v>
      </c>
      <c r="C163" s="3" t="s">
        <v>30</v>
      </c>
      <c r="D163" s="3" t="s">
        <v>168</v>
      </c>
      <c r="E163" s="2">
        <v>1920</v>
      </c>
      <c r="F163" s="2">
        <v>2</v>
      </c>
      <c r="G163" s="4">
        <v>95.05</v>
      </c>
      <c r="H163" s="3" t="s">
        <v>32</v>
      </c>
      <c r="I163" s="2">
        <v>0</v>
      </c>
      <c r="J163" s="4">
        <v>89900</v>
      </c>
      <c r="K163" s="5">
        <v>55.4</v>
      </c>
      <c r="L163" s="4">
        <v>5630</v>
      </c>
      <c r="M163" s="5">
        <v>3.5</v>
      </c>
      <c r="N163" s="4">
        <v>22080</v>
      </c>
      <c r="O163" s="5">
        <v>13.6</v>
      </c>
      <c r="P163" s="4">
        <v>17280</v>
      </c>
      <c r="Q163" s="5">
        <v>10.6</v>
      </c>
      <c r="R163" s="4">
        <v>13824</v>
      </c>
      <c r="S163" s="5">
        <v>8.5</v>
      </c>
      <c r="T163" s="4">
        <v>6150</v>
      </c>
      <c r="U163" s="5">
        <v>3.8</v>
      </c>
      <c r="V163" s="4">
        <v>2800</v>
      </c>
      <c r="W163" s="5">
        <v>1.7</v>
      </c>
      <c r="X163" s="4">
        <v>4730</v>
      </c>
      <c r="Y163" s="5">
        <v>2.9</v>
      </c>
      <c r="Z163" s="4">
        <v>0</v>
      </c>
      <c r="AA163" s="5">
        <v>0</v>
      </c>
      <c r="AB163" s="4">
        <v>157664</v>
      </c>
      <c r="AC163" s="4">
        <v>162394</v>
      </c>
      <c r="AD163">
        <v>133750</v>
      </c>
      <c r="AE163" s="8">
        <f t="shared" si="11"/>
        <v>28644</v>
      </c>
      <c r="AF163">
        <f t="shared" si="14"/>
        <v>0.21416074766355139</v>
      </c>
      <c r="AG163">
        <f t="shared" si="12"/>
        <v>0.21</v>
      </c>
      <c r="AH163" s="10">
        <v>194873</v>
      </c>
      <c r="AI163" s="12">
        <f t="shared" si="13"/>
        <v>61123</v>
      </c>
      <c r="AJ163">
        <f>(AH163-AD163)/AD163</f>
        <v>0.45699439252336449</v>
      </c>
      <c r="AK163">
        <f>AF163-AJ163</f>
        <v>-0.2428336448598131</v>
      </c>
    </row>
    <row r="164" spans="1:37" x14ac:dyDescent="0.35">
      <c r="A164" s="2">
        <v>163</v>
      </c>
      <c r="B164" s="3" t="s">
        <v>119</v>
      </c>
      <c r="C164" s="3" t="s">
        <v>30</v>
      </c>
      <c r="D164" s="3" t="s">
        <v>169</v>
      </c>
      <c r="E164" s="2">
        <v>1640</v>
      </c>
      <c r="F164" s="2">
        <v>2</v>
      </c>
      <c r="G164" s="4">
        <v>95.05</v>
      </c>
      <c r="H164" s="3" t="s">
        <v>32</v>
      </c>
      <c r="I164" s="2">
        <v>0</v>
      </c>
      <c r="J164" s="4">
        <v>64414</v>
      </c>
      <c r="K164" s="5">
        <v>54.1</v>
      </c>
      <c r="L164" s="4">
        <v>4650</v>
      </c>
      <c r="M164" s="5">
        <v>3.9</v>
      </c>
      <c r="N164" s="4">
        <v>16400</v>
      </c>
      <c r="O164" s="5">
        <v>13.8</v>
      </c>
      <c r="P164" s="4">
        <v>12300</v>
      </c>
      <c r="Q164" s="5">
        <v>10.3</v>
      </c>
      <c r="R164" s="4">
        <v>9840</v>
      </c>
      <c r="S164" s="5">
        <v>8.3000000000000007</v>
      </c>
      <c r="T164" s="4">
        <v>5400</v>
      </c>
      <c r="U164" s="5">
        <v>4.5</v>
      </c>
      <c r="V164" s="4">
        <v>2500</v>
      </c>
      <c r="W164" s="5">
        <v>2.1</v>
      </c>
      <c r="X164" s="4">
        <v>3465</v>
      </c>
      <c r="Y164" s="5">
        <v>2.9</v>
      </c>
      <c r="Z164" s="4">
        <v>0</v>
      </c>
      <c r="AA164" s="5">
        <v>0</v>
      </c>
      <c r="AB164" s="4">
        <v>115504</v>
      </c>
      <c r="AC164" s="4">
        <v>118969</v>
      </c>
      <c r="AD164">
        <v>114490</v>
      </c>
      <c r="AE164" s="8">
        <f t="shared" si="11"/>
        <v>4479</v>
      </c>
      <c r="AF164">
        <f t="shared" si="14"/>
        <v>3.9121320639357152E-2</v>
      </c>
      <c r="AG164">
        <f t="shared" si="12"/>
        <v>0.04</v>
      </c>
      <c r="AH164" s="10">
        <v>113021</v>
      </c>
      <c r="AI164" s="12">
        <f t="shared" si="13"/>
        <v>-1469</v>
      </c>
      <c r="AJ164">
        <f>(AH164-AD164)/AD164</f>
        <v>-1.2830814918333478E-2</v>
      </c>
      <c r="AK164">
        <f>AF164-AJ164</f>
        <v>5.1952135557690626E-2</v>
      </c>
    </row>
    <row r="165" spans="1:37" x14ac:dyDescent="0.35">
      <c r="A165" s="2">
        <v>164</v>
      </c>
      <c r="B165" s="3" t="s">
        <v>29</v>
      </c>
      <c r="C165" s="3" t="s">
        <v>30</v>
      </c>
      <c r="D165" s="3" t="s">
        <v>170</v>
      </c>
      <c r="E165" s="2">
        <v>1740</v>
      </c>
      <c r="F165" s="2">
        <v>2</v>
      </c>
      <c r="G165" s="4">
        <v>95.05</v>
      </c>
      <c r="H165" s="3" t="s">
        <v>32</v>
      </c>
      <c r="I165" s="2">
        <v>0</v>
      </c>
      <c r="J165" s="4">
        <v>38108</v>
      </c>
      <c r="K165" s="5">
        <v>56.2</v>
      </c>
      <c r="L165" s="4">
        <v>2930</v>
      </c>
      <c r="M165" s="5">
        <v>4.3</v>
      </c>
      <c r="N165" s="4">
        <v>9570</v>
      </c>
      <c r="O165" s="5">
        <v>14.1</v>
      </c>
      <c r="P165" s="4">
        <v>7830</v>
      </c>
      <c r="Q165" s="5">
        <v>11.6</v>
      </c>
      <c r="R165" s="4">
        <v>5568</v>
      </c>
      <c r="S165" s="5">
        <v>8.1999999999999993</v>
      </c>
      <c r="T165" s="4">
        <v>1350</v>
      </c>
      <c r="U165" s="5">
        <v>2</v>
      </c>
      <c r="V165" s="4">
        <v>1100</v>
      </c>
      <c r="W165" s="5">
        <v>1.6</v>
      </c>
      <c r="X165" s="4">
        <v>1329</v>
      </c>
      <c r="Y165" s="5">
        <v>2</v>
      </c>
      <c r="Z165" s="4">
        <v>0</v>
      </c>
      <c r="AA165" s="5">
        <v>0</v>
      </c>
      <c r="AB165" s="4">
        <v>66456</v>
      </c>
      <c r="AC165" s="4">
        <v>67785</v>
      </c>
      <c r="AD165">
        <v>80250</v>
      </c>
      <c r="AE165" s="8">
        <f t="shared" si="11"/>
        <v>-12465</v>
      </c>
      <c r="AF165">
        <f t="shared" si="14"/>
        <v>-0.15532710280373832</v>
      </c>
      <c r="AG165">
        <f t="shared" si="12"/>
        <v>-0.16</v>
      </c>
      <c r="AH165" s="10">
        <v>61007</v>
      </c>
      <c r="AI165" s="12">
        <f t="shared" si="13"/>
        <v>-19243</v>
      </c>
      <c r="AJ165">
        <f>(AH165-AD165)/AD165</f>
        <v>-0.23978816199376948</v>
      </c>
      <c r="AK165">
        <f>AF165-AJ165</f>
        <v>8.4461059190031162E-2</v>
      </c>
    </row>
    <row r="166" spans="1:37" x14ac:dyDescent="0.35">
      <c r="A166" s="2">
        <v>165</v>
      </c>
      <c r="B166" s="3" t="s">
        <v>33</v>
      </c>
      <c r="C166" s="3" t="s">
        <v>30</v>
      </c>
      <c r="D166" s="3" t="s">
        <v>171</v>
      </c>
      <c r="E166" s="2">
        <v>1100</v>
      </c>
      <c r="F166" s="2">
        <v>2</v>
      </c>
      <c r="G166" s="4">
        <v>95.05</v>
      </c>
      <c r="H166" s="3" t="s">
        <v>32</v>
      </c>
      <c r="I166" s="2">
        <v>0</v>
      </c>
      <c r="J166" s="4">
        <v>15723</v>
      </c>
      <c r="K166" s="5">
        <v>53.5</v>
      </c>
      <c r="L166" s="4">
        <v>2200</v>
      </c>
      <c r="M166" s="5">
        <v>7.5</v>
      </c>
      <c r="N166" s="4">
        <v>3960</v>
      </c>
      <c r="O166" s="5">
        <v>13.5</v>
      </c>
      <c r="P166" s="4">
        <v>2750</v>
      </c>
      <c r="Q166" s="5">
        <v>9.4</v>
      </c>
      <c r="R166" s="4">
        <v>2530</v>
      </c>
      <c r="S166" s="5">
        <v>8.6</v>
      </c>
      <c r="T166" s="4">
        <v>863</v>
      </c>
      <c r="U166" s="5">
        <v>2.9</v>
      </c>
      <c r="V166" s="4">
        <v>760</v>
      </c>
      <c r="W166" s="5">
        <v>2.6</v>
      </c>
      <c r="X166" s="4">
        <v>576</v>
      </c>
      <c r="Y166" s="5">
        <v>2</v>
      </c>
      <c r="Z166" s="4">
        <v>0</v>
      </c>
      <c r="AA166" s="5">
        <v>0</v>
      </c>
      <c r="AB166" s="4">
        <v>28786</v>
      </c>
      <c r="AC166" s="4">
        <v>29362</v>
      </c>
      <c r="AD166">
        <v>60990</v>
      </c>
      <c r="AE166" s="8">
        <f t="shared" si="11"/>
        <v>-31628</v>
      </c>
      <c r="AF166">
        <f t="shared" si="14"/>
        <v>-0.51857681587145432</v>
      </c>
      <c r="AG166">
        <f t="shared" si="12"/>
        <v>-0.52</v>
      </c>
      <c r="AH166" s="10">
        <v>27894</v>
      </c>
      <c r="AI166" s="12">
        <f t="shared" si="13"/>
        <v>-33096</v>
      </c>
      <c r="AJ166">
        <f>(AH166-AD166)/AD166</f>
        <v>-0.54264633546483032</v>
      </c>
      <c r="AK166">
        <f>AF166-AJ166</f>
        <v>2.4069519593375999E-2</v>
      </c>
    </row>
    <row r="167" spans="1:37" x14ac:dyDescent="0.35">
      <c r="A167" s="2">
        <v>166</v>
      </c>
      <c r="B167" s="3" t="s">
        <v>29</v>
      </c>
      <c r="C167" s="3" t="s">
        <v>30</v>
      </c>
      <c r="D167" s="3" t="s">
        <v>171</v>
      </c>
      <c r="E167" s="2">
        <v>1100</v>
      </c>
      <c r="F167" s="2">
        <v>2</v>
      </c>
      <c r="G167" s="4">
        <v>95.05</v>
      </c>
      <c r="H167" s="3" t="s">
        <v>32</v>
      </c>
      <c r="I167" s="2">
        <v>0</v>
      </c>
      <c r="J167" s="4">
        <v>24091</v>
      </c>
      <c r="K167" s="5">
        <v>53.7</v>
      </c>
      <c r="L167" s="4">
        <v>2930</v>
      </c>
      <c r="M167" s="5">
        <v>6.5</v>
      </c>
      <c r="N167" s="4">
        <v>6050</v>
      </c>
      <c r="O167" s="5">
        <v>13.5</v>
      </c>
      <c r="P167" s="4">
        <v>4950</v>
      </c>
      <c r="Q167" s="5">
        <v>11</v>
      </c>
      <c r="R167" s="4">
        <v>3520</v>
      </c>
      <c r="S167" s="5">
        <v>7.8</v>
      </c>
      <c r="T167" s="4">
        <v>1350</v>
      </c>
      <c r="U167" s="5">
        <v>3</v>
      </c>
      <c r="V167" s="4">
        <v>1100</v>
      </c>
      <c r="W167" s="5">
        <v>2.5</v>
      </c>
      <c r="X167" s="4">
        <v>880</v>
      </c>
      <c r="Y167" s="5">
        <v>2</v>
      </c>
      <c r="Z167" s="4">
        <v>0</v>
      </c>
      <c r="AA167" s="5">
        <v>0</v>
      </c>
      <c r="AB167" s="4">
        <v>43991</v>
      </c>
      <c r="AC167" s="4">
        <v>44871</v>
      </c>
      <c r="AD167">
        <v>69550</v>
      </c>
      <c r="AE167" s="8">
        <f t="shared" si="11"/>
        <v>-24679</v>
      </c>
      <c r="AF167">
        <f t="shared" si="14"/>
        <v>-0.35483824586628326</v>
      </c>
      <c r="AG167">
        <f t="shared" si="12"/>
        <v>-0.35</v>
      </c>
      <c r="AH167" s="10">
        <v>42627</v>
      </c>
      <c r="AI167" s="12">
        <f t="shared" si="13"/>
        <v>-26923</v>
      </c>
      <c r="AJ167">
        <f>(AH167-AD167)/AD167</f>
        <v>-0.38710280373831774</v>
      </c>
      <c r="AK167">
        <f>AF167-AJ167</f>
        <v>3.2264557872034472E-2</v>
      </c>
    </row>
    <row r="168" spans="1:37" x14ac:dyDescent="0.35">
      <c r="A168" s="2">
        <v>167</v>
      </c>
      <c r="B168" s="3" t="s">
        <v>119</v>
      </c>
      <c r="C168" s="3" t="s">
        <v>30</v>
      </c>
      <c r="D168" s="3" t="s">
        <v>172</v>
      </c>
      <c r="E168" s="2">
        <v>1300</v>
      </c>
      <c r="F168" s="2">
        <v>2</v>
      </c>
      <c r="G168" s="4">
        <v>95.05</v>
      </c>
      <c r="H168" s="3" t="s">
        <v>32</v>
      </c>
      <c r="I168" s="2">
        <v>0</v>
      </c>
      <c r="J168" s="4">
        <v>51060</v>
      </c>
      <c r="K168" s="5">
        <v>52.6</v>
      </c>
      <c r="L168" s="4">
        <v>4650</v>
      </c>
      <c r="M168" s="5">
        <v>4.8</v>
      </c>
      <c r="N168" s="4">
        <v>13000</v>
      </c>
      <c r="O168" s="5">
        <v>13.4</v>
      </c>
      <c r="P168" s="4">
        <v>9750</v>
      </c>
      <c r="Q168" s="5">
        <v>10.1</v>
      </c>
      <c r="R168" s="4">
        <v>7800</v>
      </c>
      <c r="S168" s="5">
        <v>8</v>
      </c>
      <c r="T168" s="4">
        <v>5400</v>
      </c>
      <c r="U168" s="5">
        <v>5.6</v>
      </c>
      <c r="V168" s="4">
        <v>2500</v>
      </c>
      <c r="W168" s="5">
        <v>2.6</v>
      </c>
      <c r="X168" s="4">
        <v>2825</v>
      </c>
      <c r="Y168" s="5">
        <v>2.9</v>
      </c>
      <c r="Z168" s="4">
        <v>0</v>
      </c>
      <c r="AA168" s="5">
        <v>0</v>
      </c>
      <c r="AB168" s="4">
        <v>94160</v>
      </c>
      <c r="AC168" s="4">
        <v>96985</v>
      </c>
      <c r="AD168">
        <v>155150</v>
      </c>
      <c r="AE168" s="8">
        <f t="shared" si="11"/>
        <v>-58165</v>
      </c>
      <c r="AF168">
        <f t="shared" si="14"/>
        <v>-0.37489526264904932</v>
      </c>
      <c r="AG168">
        <f t="shared" si="12"/>
        <v>-0.37</v>
      </c>
      <c r="AH168" s="10">
        <v>116382</v>
      </c>
      <c r="AI168" s="12">
        <f t="shared" si="13"/>
        <v>-38768</v>
      </c>
      <c r="AJ168">
        <f>(AH168-AD168)/AD168</f>
        <v>-0.24987431517885916</v>
      </c>
      <c r="AK168">
        <f>AF168-AJ168</f>
        <v>-0.12502094747019016</v>
      </c>
    </row>
    <row r="169" spans="1:37" x14ac:dyDescent="0.35">
      <c r="A169" s="2">
        <v>168</v>
      </c>
      <c r="B169" s="3" t="s">
        <v>92</v>
      </c>
      <c r="C169" s="3" t="s">
        <v>30</v>
      </c>
      <c r="D169" s="3" t="s">
        <v>172</v>
      </c>
      <c r="E169" s="2">
        <v>1300</v>
      </c>
      <c r="F169" s="2">
        <v>2</v>
      </c>
      <c r="G169" s="4">
        <v>95.05</v>
      </c>
      <c r="H169" s="3" t="s">
        <v>32</v>
      </c>
      <c r="I169" s="2">
        <v>0</v>
      </c>
      <c r="J169" s="4">
        <v>60869</v>
      </c>
      <c r="K169" s="5">
        <v>53</v>
      </c>
      <c r="L169" s="4">
        <v>5630</v>
      </c>
      <c r="M169" s="5">
        <v>4.9000000000000004</v>
      </c>
      <c r="N169" s="4">
        <v>14950</v>
      </c>
      <c r="O169" s="5">
        <v>13</v>
      </c>
      <c r="P169" s="4">
        <v>11700</v>
      </c>
      <c r="Q169" s="5">
        <v>10.199999999999999</v>
      </c>
      <c r="R169" s="4">
        <v>9360</v>
      </c>
      <c r="S169" s="5">
        <v>8.1999999999999993</v>
      </c>
      <c r="T169" s="4">
        <v>6150</v>
      </c>
      <c r="U169" s="5">
        <v>5.4</v>
      </c>
      <c r="V169" s="4">
        <v>2800</v>
      </c>
      <c r="W169" s="5">
        <v>2.4</v>
      </c>
      <c r="X169" s="4">
        <v>3344</v>
      </c>
      <c r="Y169" s="5">
        <v>2.9</v>
      </c>
      <c r="Z169" s="4">
        <v>0</v>
      </c>
      <c r="AA169" s="5">
        <v>0</v>
      </c>
      <c r="AB169" s="4">
        <v>111459</v>
      </c>
      <c r="AC169" s="4">
        <v>114803</v>
      </c>
      <c r="AD169">
        <v>158360</v>
      </c>
      <c r="AE169" s="8">
        <f t="shared" si="11"/>
        <v>-43557</v>
      </c>
      <c r="AF169">
        <f t="shared" si="14"/>
        <v>-0.27505051780752715</v>
      </c>
      <c r="AG169">
        <f t="shared" si="12"/>
        <v>-0.28000000000000003</v>
      </c>
      <c r="AH169" s="10">
        <v>137764</v>
      </c>
      <c r="AI169" s="12">
        <f t="shared" si="13"/>
        <v>-20596</v>
      </c>
      <c r="AJ169">
        <f>(AH169-AD169)/AD169</f>
        <v>-0.13005809547865624</v>
      </c>
      <c r="AK169">
        <f>AF169-AJ169</f>
        <v>-0.14499242232887091</v>
      </c>
    </row>
    <row r="170" spans="1:37" x14ac:dyDescent="0.35">
      <c r="A170" s="2">
        <v>169</v>
      </c>
      <c r="B170" s="3" t="s">
        <v>33</v>
      </c>
      <c r="C170" s="3" t="s">
        <v>30</v>
      </c>
      <c r="D170" s="3" t="s">
        <v>173</v>
      </c>
      <c r="E170" s="2">
        <v>1090</v>
      </c>
      <c r="F170" s="2">
        <v>2</v>
      </c>
      <c r="G170" s="4">
        <v>95.05</v>
      </c>
      <c r="H170" s="3" t="s">
        <v>32</v>
      </c>
      <c r="I170" s="2">
        <v>0</v>
      </c>
      <c r="J170" s="4">
        <v>15580</v>
      </c>
      <c r="K170" s="5">
        <v>53.5</v>
      </c>
      <c r="L170" s="4">
        <v>2200</v>
      </c>
      <c r="M170" s="5">
        <v>7.6</v>
      </c>
      <c r="N170" s="4">
        <v>3924</v>
      </c>
      <c r="O170" s="5">
        <v>13.5</v>
      </c>
      <c r="P170" s="4">
        <v>2725</v>
      </c>
      <c r="Q170" s="5">
        <v>9.4</v>
      </c>
      <c r="R170" s="4">
        <v>2507</v>
      </c>
      <c r="S170" s="5">
        <v>8.6</v>
      </c>
      <c r="T170" s="4">
        <v>863</v>
      </c>
      <c r="U170" s="5">
        <v>3</v>
      </c>
      <c r="V170" s="4">
        <v>760</v>
      </c>
      <c r="W170" s="5">
        <v>2.6</v>
      </c>
      <c r="X170" s="4">
        <v>571</v>
      </c>
      <c r="Y170" s="5">
        <v>2</v>
      </c>
      <c r="Z170" s="4">
        <v>0</v>
      </c>
      <c r="AA170" s="5">
        <v>0</v>
      </c>
      <c r="AB170" s="4">
        <v>28559</v>
      </c>
      <c r="AC170" s="4">
        <v>29130</v>
      </c>
      <c r="AD170">
        <v>60990</v>
      </c>
      <c r="AE170" s="8">
        <f t="shared" si="11"/>
        <v>-31860</v>
      </c>
      <c r="AF170">
        <f t="shared" si="14"/>
        <v>-0.52238071815051645</v>
      </c>
      <c r="AG170">
        <f t="shared" si="12"/>
        <v>-0.52</v>
      </c>
      <c r="AH170" s="10">
        <v>29130</v>
      </c>
      <c r="AI170" s="12">
        <f t="shared" si="13"/>
        <v>-31860</v>
      </c>
      <c r="AJ170">
        <f>(AH170-AD170)/AD170</f>
        <v>-0.52238071815051645</v>
      </c>
      <c r="AK170">
        <f>AF170-AJ170</f>
        <v>0</v>
      </c>
    </row>
    <row r="171" spans="1:37" x14ac:dyDescent="0.35">
      <c r="A171" s="2">
        <v>170</v>
      </c>
      <c r="B171" s="3" t="s">
        <v>29</v>
      </c>
      <c r="C171" s="3" t="s">
        <v>30</v>
      </c>
      <c r="D171" s="3" t="s">
        <v>173</v>
      </c>
      <c r="E171" s="2">
        <v>1090</v>
      </c>
      <c r="F171" s="2">
        <v>2</v>
      </c>
      <c r="G171" s="4">
        <v>95.05</v>
      </c>
      <c r="H171" s="3" t="s">
        <v>32</v>
      </c>
      <c r="I171" s="2">
        <v>0</v>
      </c>
      <c r="J171" s="4">
        <v>23872</v>
      </c>
      <c r="K171" s="5">
        <v>53.6</v>
      </c>
      <c r="L171" s="4">
        <v>2930</v>
      </c>
      <c r="M171" s="5">
        <v>6.6</v>
      </c>
      <c r="N171" s="4">
        <v>5995</v>
      </c>
      <c r="O171" s="5">
        <v>13.5</v>
      </c>
      <c r="P171" s="4">
        <v>4905</v>
      </c>
      <c r="Q171" s="5">
        <v>11</v>
      </c>
      <c r="R171" s="4">
        <v>3488</v>
      </c>
      <c r="S171" s="5">
        <v>7.8</v>
      </c>
      <c r="T171" s="4">
        <v>1350</v>
      </c>
      <c r="U171" s="5">
        <v>3</v>
      </c>
      <c r="V171" s="4">
        <v>1100</v>
      </c>
      <c r="W171" s="5">
        <v>2.5</v>
      </c>
      <c r="X171" s="4">
        <v>873</v>
      </c>
      <c r="Y171" s="5">
        <v>2</v>
      </c>
      <c r="Z171" s="4">
        <v>0</v>
      </c>
      <c r="AA171" s="5">
        <v>0</v>
      </c>
      <c r="AB171" s="4">
        <v>43640</v>
      </c>
      <c r="AC171" s="4">
        <v>44513</v>
      </c>
      <c r="AD171">
        <v>69550</v>
      </c>
      <c r="AE171" s="8">
        <f t="shared" si="11"/>
        <v>-25037</v>
      </c>
      <c r="AF171">
        <f t="shared" si="14"/>
        <v>-0.35998562185478072</v>
      </c>
      <c r="AG171">
        <f t="shared" si="12"/>
        <v>-0.36</v>
      </c>
      <c r="AH171" s="10">
        <v>44513</v>
      </c>
      <c r="AI171" s="12">
        <f t="shared" si="13"/>
        <v>-25037</v>
      </c>
      <c r="AJ171">
        <f>(AH171-AD171)/AD171</f>
        <v>-0.35998562185478072</v>
      </c>
      <c r="AK171">
        <f>AF171-AJ171</f>
        <v>0</v>
      </c>
    </row>
    <row r="172" spans="1:37" x14ac:dyDescent="0.35">
      <c r="A172" s="2">
        <v>171</v>
      </c>
      <c r="B172" s="3" t="s">
        <v>33</v>
      </c>
      <c r="C172" s="3" t="s">
        <v>30</v>
      </c>
      <c r="D172" s="3" t="s">
        <v>174</v>
      </c>
      <c r="E172" s="2">
        <v>1100</v>
      </c>
      <c r="F172" s="2">
        <v>2</v>
      </c>
      <c r="G172" s="4">
        <v>95.05</v>
      </c>
      <c r="H172" s="3" t="s">
        <v>32</v>
      </c>
      <c r="I172" s="2">
        <v>0</v>
      </c>
      <c r="J172" s="4">
        <v>15723</v>
      </c>
      <c r="K172" s="5">
        <v>53.5</v>
      </c>
      <c r="L172" s="4">
        <v>2200</v>
      </c>
      <c r="M172" s="5">
        <v>7.5</v>
      </c>
      <c r="N172" s="4">
        <v>3960</v>
      </c>
      <c r="O172" s="5">
        <v>13.5</v>
      </c>
      <c r="P172" s="4">
        <v>2750</v>
      </c>
      <c r="Q172" s="5">
        <v>9.4</v>
      </c>
      <c r="R172" s="4">
        <v>2530</v>
      </c>
      <c r="S172" s="5">
        <v>8.6</v>
      </c>
      <c r="T172" s="4">
        <v>863</v>
      </c>
      <c r="U172" s="5">
        <v>2.9</v>
      </c>
      <c r="V172" s="4">
        <v>760</v>
      </c>
      <c r="W172" s="5">
        <v>2.6</v>
      </c>
      <c r="X172" s="4">
        <v>576</v>
      </c>
      <c r="Y172" s="5">
        <v>2</v>
      </c>
      <c r="Z172" s="4">
        <v>0</v>
      </c>
      <c r="AA172" s="5">
        <v>0</v>
      </c>
      <c r="AB172" s="4">
        <v>28786</v>
      </c>
      <c r="AC172" s="4">
        <v>29362</v>
      </c>
      <c r="AD172">
        <v>60990</v>
      </c>
      <c r="AE172" s="8">
        <f t="shared" si="11"/>
        <v>-31628</v>
      </c>
      <c r="AF172">
        <f t="shared" si="14"/>
        <v>-0.51857681587145432</v>
      </c>
      <c r="AG172">
        <f t="shared" si="12"/>
        <v>-0.52</v>
      </c>
      <c r="AH172" s="10">
        <v>29362</v>
      </c>
      <c r="AI172" s="12">
        <f t="shared" si="13"/>
        <v>-31628</v>
      </c>
      <c r="AJ172">
        <f>(AH172-AD172)/AD172</f>
        <v>-0.51857681587145432</v>
      </c>
      <c r="AK172">
        <f>AF172-AJ172</f>
        <v>0</v>
      </c>
    </row>
    <row r="173" spans="1:37" x14ac:dyDescent="0.35">
      <c r="A173" s="2">
        <v>172</v>
      </c>
      <c r="B173" s="3" t="s">
        <v>29</v>
      </c>
      <c r="C173" s="3" t="s">
        <v>30</v>
      </c>
      <c r="D173" s="3" t="s">
        <v>174</v>
      </c>
      <c r="E173" s="2">
        <v>1100</v>
      </c>
      <c r="F173" s="2">
        <v>2</v>
      </c>
      <c r="G173" s="4">
        <v>95.05</v>
      </c>
      <c r="H173" s="3" t="s">
        <v>32</v>
      </c>
      <c r="I173" s="2">
        <v>0</v>
      </c>
      <c r="J173" s="4">
        <v>24091</v>
      </c>
      <c r="K173" s="5">
        <v>53.7</v>
      </c>
      <c r="L173" s="4">
        <v>2930</v>
      </c>
      <c r="M173" s="5">
        <v>6.5</v>
      </c>
      <c r="N173" s="4">
        <v>6050</v>
      </c>
      <c r="O173" s="5">
        <v>13.5</v>
      </c>
      <c r="P173" s="4">
        <v>4950</v>
      </c>
      <c r="Q173" s="5">
        <v>11</v>
      </c>
      <c r="R173" s="4">
        <v>3520</v>
      </c>
      <c r="S173" s="5">
        <v>7.8</v>
      </c>
      <c r="T173" s="4">
        <v>1350</v>
      </c>
      <c r="U173" s="5">
        <v>3</v>
      </c>
      <c r="V173" s="4">
        <v>1100</v>
      </c>
      <c r="W173" s="5">
        <v>2.5</v>
      </c>
      <c r="X173" s="4">
        <v>880</v>
      </c>
      <c r="Y173" s="5">
        <v>2</v>
      </c>
      <c r="Z173" s="4">
        <v>0</v>
      </c>
      <c r="AA173" s="5">
        <v>0</v>
      </c>
      <c r="AB173" s="4">
        <v>43991</v>
      </c>
      <c r="AC173" s="4">
        <v>44871</v>
      </c>
      <c r="AD173">
        <v>69550</v>
      </c>
      <c r="AE173" s="8">
        <f t="shared" si="11"/>
        <v>-24679</v>
      </c>
      <c r="AF173">
        <f t="shared" si="14"/>
        <v>-0.35483824586628326</v>
      </c>
      <c r="AG173">
        <f t="shared" si="12"/>
        <v>-0.35</v>
      </c>
      <c r="AH173" s="10">
        <v>44871</v>
      </c>
      <c r="AI173" s="12">
        <f t="shared" si="13"/>
        <v>-24679</v>
      </c>
      <c r="AJ173">
        <f>(AH173-AD173)/AD173</f>
        <v>-0.35483824586628326</v>
      </c>
      <c r="AK173">
        <f>AF173-AJ173</f>
        <v>0</v>
      </c>
    </row>
    <row r="174" spans="1:37" x14ac:dyDescent="0.35">
      <c r="A174" s="2">
        <v>173</v>
      </c>
      <c r="B174" s="3" t="s">
        <v>88</v>
      </c>
      <c r="C174" s="3" t="s">
        <v>30</v>
      </c>
      <c r="D174" s="3" t="s">
        <v>174</v>
      </c>
      <c r="E174" s="2">
        <v>1100</v>
      </c>
      <c r="F174" s="2">
        <v>2</v>
      </c>
      <c r="G174" s="4">
        <v>95.05</v>
      </c>
      <c r="H174" s="3" t="s">
        <v>32</v>
      </c>
      <c r="I174" s="2">
        <v>0</v>
      </c>
      <c r="J174" s="4">
        <v>26204</v>
      </c>
      <c r="K174" s="5">
        <v>53.9</v>
      </c>
      <c r="L174" s="4">
        <v>3030</v>
      </c>
      <c r="M174" s="5">
        <v>6.2</v>
      </c>
      <c r="N174" s="4">
        <v>6380</v>
      </c>
      <c r="O174" s="5">
        <v>13.1</v>
      </c>
      <c r="P174" s="4">
        <v>4950</v>
      </c>
      <c r="Q174" s="5">
        <v>10.199999999999999</v>
      </c>
      <c r="R174" s="4">
        <v>3740</v>
      </c>
      <c r="S174" s="5">
        <v>7.7</v>
      </c>
      <c r="T174" s="4">
        <v>2175</v>
      </c>
      <c r="U174" s="5">
        <v>4.5</v>
      </c>
      <c r="V174" s="4">
        <v>1150</v>
      </c>
      <c r="W174" s="5">
        <v>2.4</v>
      </c>
      <c r="X174" s="4">
        <v>953</v>
      </c>
      <c r="Y174" s="5">
        <v>2</v>
      </c>
      <c r="Z174" s="4">
        <v>0</v>
      </c>
      <c r="AA174" s="5">
        <v>0</v>
      </c>
      <c r="AB174" s="4">
        <v>47629</v>
      </c>
      <c r="AC174" s="4">
        <v>48582</v>
      </c>
      <c r="AD174">
        <v>104860</v>
      </c>
      <c r="AE174" s="8">
        <f t="shared" si="11"/>
        <v>-56278</v>
      </c>
      <c r="AF174">
        <f t="shared" si="14"/>
        <v>-0.5366965477779897</v>
      </c>
      <c r="AG174">
        <f t="shared" si="12"/>
        <v>-0.54</v>
      </c>
      <c r="AH174" s="10">
        <v>48582</v>
      </c>
      <c r="AI174" s="12">
        <f t="shared" si="13"/>
        <v>-56278</v>
      </c>
      <c r="AJ174">
        <f>(AH174-AD174)/AD174</f>
        <v>-0.5366965477779897</v>
      </c>
      <c r="AK174">
        <f>AF174-AJ174</f>
        <v>0</v>
      </c>
    </row>
    <row r="175" spans="1:37" x14ac:dyDescent="0.35">
      <c r="A175" s="2">
        <v>174</v>
      </c>
      <c r="B175" s="3" t="s">
        <v>160</v>
      </c>
      <c r="C175" s="3" t="s">
        <v>30</v>
      </c>
      <c r="D175" s="3" t="s">
        <v>174</v>
      </c>
      <c r="E175" s="2">
        <v>1100</v>
      </c>
      <c r="F175" s="2">
        <v>2</v>
      </c>
      <c r="G175" s="4">
        <v>95.05</v>
      </c>
      <c r="H175" s="3" t="s">
        <v>32</v>
      </c>
      <c r="I175" s="2">
        <v>0</v>
      </c>
      <c r="J175" s="4">
        <v>27157</v>
      </c>
      <c r="K175" s="5">
        <v>54.1</v>
      </c>
      <c r="L175" s="4">
        <v>3100</v>
      </c>
      <c r="M175" s="5">
        <v>6.2</v>
      </c>
      <c r="N175" s="4">
        <v>6600</v>
      </c>
      <c r="O175" s="5">
        <v>13.1</v>
      </c>
      <c r="P175" s="4">
        <v>4950</v>
      </c>
      <c r="Q175" s="5">
        <v>9.9</v>
      </c>
      <c r="R175" s="4">
        <v>3850</v>
      </c>
      <c r="S175" s="5">
        <v>7.7</v>
      </c>
      <c r="T175" s="4">
        <v>2400</v>
      </c>
      <c r="U175" s="5">
        <v>4.8</v>
      </c>
      <c r="V175" s="4">
        <v>1200</v>
      </c>
      <c r="W175" s="5">
        <v>2.4</v>
      </c>
      <c r="X175" s="4">
        <v>985</v>
      </c>
      <c r="Y175" s="5">
        <v>2</v>
      </c>
      <c r="Z175" s="4">
        <v>0</v>
      </c>
      <c r="AA175" s="5">
        <v>0</v>
      </c>
      <c r="AB175" s="4">
        <v>49257</v>
      </c>
      <c r="AC175" s="4">
        <v>50242</v>
      </c>
      <c r="AD175">
        <v>105930</v>
      </c>
      <c r="AE175" s="8">
        <f t="shared" si="11"/>
        <v>-55688</v>
      </c>
      <c r="AF175">
        <f t="shared" si="14"/>
        <v>-0.52570565467761732</v>
      </c>
      <c r="AG175">
        <f t="shared" si="12"/>
        <v>-0.53</v>
      </c>
      <c r="AH175" s="10">
        <v>50242</v>
      </c>
      <c r="AI175" s="12">
        <f t="shared" si="13"/>
        <v>-55688</v>
      </c>
      <c r="AJ175">
        <f>(AH175-AD175)/AD175</f>
        <v>-0.52570565467761732</v>
      </c>
      <c r="AK175">
        <f>AF175-AJ175</f>
        <v>0</v>
      </c>
    </row>
    <row r="176" spans="1:37" x14ac:dyDescent="0.35">
      <c r="A176" s="2">
        <v>175</v>
      </c>
      <c r="B176" s="3" t="s">
        <v>83</v>
      </c>
      <c r="C176" s="3" t="s">
        <v>30</v>
      </c>
      <c r="D176" s="3" t="s">
        <v>174</v>
      </c>
      <c r="E176" s="2">
        <v>1100</v>
      </c>
      <c r="F176" s="2">
        <v>2</v>
      </c>
      <c r="G176" s="4">
        <v>95.05</v>
      </c>
      <c r="H176" s="3" t="s">
        <v>32</v>
      </c>
      <c r="I176" s="2">
        <v>0</v>
      </c>
      <c r="J176" s="4">
        <v>33192</v>
      </c>
      <c r="K176" s="5">
        <v>53.4</v>
      </c>
      <c r="L176" s="4">
        <v>3530</v>
      </c>
      <c r="M176" s="5">
        <v>5.7</v>
      </c>
      <c r="N176" s="4">
        <v>8250</v>
      </c>
      <c r="O176" s="5">
        <v>13.3</v>
      </c>
      <c r="P176" s="4">
        <v>6600</v>
      </c>
      <c r="Q176" s="5">
        <v>10.6</v>
      </c>
      <c r="R176" s="4">
        <v>4620</v>
      </c>
      <c r="S176" s="5">
        <v>7.4</v>
      </c>
      <c r="T176" s="4">
        <v>2880</v>
      </c>
      <c r="U176" s="5">
        <v>4.5999999999999996</v>
      </c>
      <c r="V176" s="4">
        <v>1600</v>
      </c>
      <c r="W176" s="5">
        <v>2.6</v>
      </c>
      <c r="X176" s="4">
        <v>1517</v>
      </c>
      <c r="Y176" s="5">
        <v>2.4</v>
      </c>
      <c r="Z176" s="4">
        <v>0</v>
      </c>
      <c r="AA176" s="5">
        <v>0</v>
      </c>
      <c r="AB176" s="4">
        <v>60672</v>
      </c>
      <c r="AC176" s="4">
        <v>62189</v>
      </c>
      <c r="AD176">
        <v>106465</v>
      </c>
      <c r="AE176" s="8">
        <f t="shared" si="11"/>
        <v>-44276</v>
      </c>
      <c r="AF176">
        <f t="shared" si="14"/>
        <v>-0.41587376133001458</v>
      </c>
      <c r="AG176">
        <f t="shared" si="12"/>
        <v>-0.42</v>
      </c>
      <c r="AH176" s="10">
        <v>62189</v>
      </c>
      <c r="AI176" s="12">
        <f t="shared" si="13"/>
        <v>-44276</v>
      </c>
      <c r="AJ176">
        <f>(AH176-AD176)/AD176</f>
        <v>-0.41587376133001458</v>
      </c>
      <c r="AK176">
        <f>AF176-AJ176</f>
        <v>0</v>
      </c>
    </row>
    <row r="177" spans="1:37" x14ac:dyDescent="0.35">
      <c r="A177" s="2">
        <v>176</v>
      </c>
      <c r="B177" s="3" t="s">
        <v>156</v>
      </c>
      <c r="C177" s="3" t="s">
        <v>30</v>
      </c>
      <c r="D177" s="3" t="s">
        <v>174</v>
      </c>
      <c r="E177" s="2">
        <v>1100</v>
      </c>
      <c r="F177" s="2">
        <v>2</v>
      </c>
      <c r="G177" s="4">
        <v>95.05</v>
      </c>
      <c r="H177" s="3" t="s">
        <v>32</v>
      </c>
      <c r="I177" s="2">
        <v>0</v>
      </c>
      <c r="J177" s="4">
        <v>33946</v>
      </c>
      <c r="K177" s="5">
        <v>53.3</v>
      </c>
      <c r="L177" s="4">
        <v>3580</v>
      </c>
      <c r="M177" s="5">
        <v>5.6</v>
      </c>
      <c r="N177" s="4">
        <v>8360</v>
      </c>
      <c r="O177" s="5">
        <v>13.1</v>
      </c>
      <c r="P177" s="4">
        <v>6600</v>
      </c>
      <c r="Q177" s="5">
        <v>10.4</v>
      </c>
      <c r="R177" s="4">
        <v>4730</v>
      </c>
      <c r="S177" s="5">
        <v>7.4</v>
      </c>
      <c r="T177" s="4">
        <v>3300</v>
      </c>
      <c r="U177" s="5">
        <v>5.2</v>
      </c>
      <c r="V177" s="4">
        <v>1660</v>
      </c>
      <c r="W177" s="5">
        <v>2.6</v>
      </c>
      <c r="X177" s="4">
        <v>1554</v>
      </c>
      <c r="Y177" s="5">
        <v>2.4</v>
      </c>
      <c r="Z177" s="4">
        <v>0</v>
      </c>
      <c r="AA177" s="5">
        <v>0</v>
      </c>
      <c r="AB177" s="4">
        <v>62176</v>
      </c>
      <c r="AC177" s="4">
        <v>63730</v>
      </c>
      <c r="AD177">
        <v>116630</v>
      </c>
      <c r="AE177" s="8">
        <f t="shared" si="11"/>
        <v>-52900</v>
      </c>
      <c r="AF177">
        <f t="shared" si="14"/>
        <v>-0.45357112235273944</v>
      </c>
      <c r="AG177">
        <f t="shared" si="12"/>
        <v>-0.45</v>
      </c>
      <c r="AH177" s="10">
        <v>63730</v>
      </c>
      <c r="AI177" s="12">
        <f t="shared" si="13"/>
        <v>-52900</v>
      </c>
      <c r="AJ177">
        <f>(AH177-AD177)/AD177</f>
        <v>-0.45357112235273944</v>
      </c>
      <c r="AK177">
        <f>AF177-AJ177</f>
        <v>0</v>
      </c>
    </row>
    <row r="178" spans="1:37" x14ac:dyDescent="0.35">
      <c r="A178" s="2">
        <v>177</v>
      </c>
      <c r="B178" s="3" t="s">
        <v>119</v>
      </c>
      <c r="C178" s="3" t="s">
        <v>30</v>
      </c>
      <c r="D178" s="3" t="s">
        <v>174</v>
      </c>
      <c r="E178" s="2">
        <v>1100</v>
      </c>
      <c r="F178" s="2">
        <v>2</v>
      </c>
      <c r="G178" s="4">
        <v>95.05</v>
      </c>
      <c r="H178" s="3" t="s">
        <v>32</v>
      </c>
      <c r="I178" s="2">
        <v>0</v>
      </c>
      <c r="J178" s="4">
        <v>43205</v>
      </c>
      <c r="K178" s="5">
        <v>51.4</v>
      </c>
      <c r="L178" s="4">
        <v>4650</v>
      </c>
      <c r="M178" s="5">
        <v>5.5</v>
      </c>
      <c r="N178" s="4">
        <v>11000</v>
      </c>
      <c r="O178" s="5">
        <v>13.1</v>
      </c>
      <c r="P178" s="4">
        <v>8250</v>
      </c>
      <c r="Q178" s="5">
        <v>9.8000000000000007</v>
      </c>
      <c r="R178" s="4">
        <v>6600</v>
      </c>
      <c r="S178" s="5">
        <v>7.9</v>
      </c>
      <c r="T178" s="4">
        <v>5400</v>
      </c>
      <c r="U178" s="5">
        <v>6.4</v>
      </c>
      <c r="V178" s="4">
        <v>2500</v>
      </c>
      <c r="W178" s="5">
        <v>3</v>
      </c>
      <c r="X178" s="4">
        <v>2448</v>
      </c>
      <c r="Y178" s="5">
        <v>2.9</v>
      </c>
      <c r="Z178" s="4">
        <v>0</v>
      </c>
      <c r="AA178" s="5">
        <v>0</v>
      </c>
      <c r="AB178" s="4">
        <v>81605</v>
      </c>
      <c r="AC178" s="4">
        <v>84053</v>
      </c>
      <c r="AD178">
        <v>132680</v>
      </c>
      <c r="AE178" s="8">
        <f t="shared" si="11"/>
        <v>-48627</v>
      </c>
      <c r="AF178">
        <f t="shared" si="14"/>
        <v>-0.36649834187518843</v>
      </c>
      <c r="AG178">
        <f t="shared" si="12"/>
        <v>-0.37</v>
      </c>
      <c r="AH178" s="10">
        <v>84053</v>
      </c>
      <c r="AI178" s="12">
        <f t="shared" si="13"/>
        <v>-48627</v>
      </c>
      <c r="AJ178">
        <f>(AH178-AD178)/AD178</f>
        <v>-0.36649834187518843</v>
      </c>
      <c r="AK178">
        <f>AF178-AJ178</f>
        <v>0</v>
      </c>
    </row>
    <row r="179" spans="1:37" x14ac:dyDescent="0.35">
      <c r="A179" s="2">
        <v>178</v>
      </c>
      <c r="B179" s="3" t="s">
        <v>92</v>
      </c>
      <c r="C179" s="3" t="s">
        <v>30</v>
      </c>
      <c r="D179" s="3" t="s">
        <v>174</v>
      </c>
      <c r="E179" s="2">
        <v>1100</v>
      </c>
      <c r="F179" s="2">
        <v>2</v>
      </c>
      <c r="G179" s="4">
        <v>95.05</v>
      </c>
      <c r="H179" s="3" t="s">
        <v>32</v>
      </c>
      <c r="I179" s="2">
        <v>0</v>
      </c>
      <c r="J179" s="4">
        <v>51505</v>
      </c>
      <c r="K179" s="5">
        <v>51.8</v>
      </c>
      <c r="L179" s="4">
        <v>5630</v>
      </c>
      <c r="M179" s="5">
        <v>5.7</v>
      </c>
      <c r="N179" s="4">
        <v>12650</v>
      </c>
      <c r="O179" s="5">
        <v>12.7</v>
      </c>
      <c r="P179" s="4">
        <v>9900</v>
      </c>
      <c r="Q179" s="5">
        <v>10</v>
      </c>
      <c r="R179" s="4">
        <v>7920</v>
      </c>
      <c r="S179" s="5">
        <v>8</v>
      </c>
      <c r="T179" s="4">
        <v>6150</v>
      </c>
      <c r="U179" s="5">
        <v>6.2</v>
      </c>
      <c r="V179" s="4">
        <v>2800</v>
      </c>
      <c r="W179" s="5">
        <v>2.8</v>
      </c>
      <c r="X179" s="4">
        <v>2897</v>
      </c>
      <c r="Y179" s="5">
        <v>2.9</v>
      </c>
      <c r="Z179" s="4">
        <v>0</v>
      </c>
      <c r="AA179" s="5">
        <v>0</v>
      </c>
      <c r="AB179" s="4">
        <v>96555</v>
      </c>
      <c r="AC179" s="4">
        <v>99452</v>
      </c>
      <c r="AD179">
        <v>135890</v>
      </c>
      <c r="AE179" s="8">
        <f t="shared" si="11"/>
        <v>-36438</v>
      </c>
      <c r="AF179">
        <f t="shared" si="14"/>
        <v>-0.26814335123997352</v>
      </c>
      <c r="AG179">
        <f t="shared" si="12"/>
        <v>-0.27</v>
      </c>
      <c r="AH179" s="10">
        <v>99452</v>
      </c>
      <c r="AI179" s="12">
        <f t="shared" si="13"/>
        <v>-36438</v>
      </c>
      <c r="AJ179">
        <f>(AH179-AD179)/AD179</f>
        <v>-0.26814335123997352</v>
      </c>
      <c r="AK179">
        <f>AF179-AJ179</f>
        <v>0</v>
      </c>
    </row>
    <row r="180" spans="1:37" x14ac:dyDescent="0.35">
      <c r="A180" s="2">
        <v>179</v>
      </c>
      <c r="B180" s="3" t="s">
        <v>88</v>
      </c>
      <c r="C180" s="3" t="s">
        <v>30</v>
      </c>
      <c r="D180" s="3" t="s">
        <v>175</v>
      </c>
      <c r="E180" s="2">
        <v>1600</v>
      </c>
      <c r="F180" s="2">
        <v>2</v>
      </c>
      <c r="G180" s="4">
        <v>95.05</v>
      </c>
      <c r="H180" s="3" t="s">
        <v>32</v>
      </c>
      <c r="I180" s="2">
        <v>0</v>
      </c>
      <c r="J180" s="4">
        <v>38115</v>
      </c>
      <c r="K180" s="5">
        <v>56.3</v>
      </c>
      <c r="L180" s="4">
        <v>3030</v>
      </c>
      <c r="M180" s="5">
        <v>4.5</v>
      </c>
      <c r="N180" s="4">
        <v>9280</v>
      </c>
      <c r="O180" s="5">
        <v>13.7</v>
      </c>
      <c r="P180" s="4">
        <v>7200</v>
      </c>
      <c r="Q180" s="5">
        <v>10.6</v>
      </c>
      <c r="R180" s="4">
        <v>5440</v>
      </c>
      <c r="S180" s="5">
        <v>8</v>
      </c>
      <c r="T180" s="4">
        <v>2175</v>
      </c>
      <c r="U180" s="5">
        <v>3.2</v>
      </c>
      <c r="V180" s="4">
        <v>1150</v>
      </c>
      <c r="W180" s="5">
        <v>1.7</v>
      </c>
      <c r="X180" s="4">
        <v>1328</v>
      </c>
      <c r="Y180" s="5">
        <v>2</v>
      </c>
      <c r="Z180" s="4">
        <v>0</v>
      </c>
      <c r="AA180" s="5">
        <v>0</v>
      </c>
      <c r="AB180" s="4">
        <v>66390</v>
      </c>
      <c r="AC180" s="4">
        <v>67718</v>
      </c>
      <c r="AD180">
        <v>144450</v>
      </c>
      <c r="AE180" s="8">
        <f t="shared" si="11"/>
        <v>-76732</v>
      </c>
      <c r="AF180">
        <f t="shared" si="14"/>
        <v>-0.53120110764970574</v>
      </c>
      <c r="AG180">
        <f t="shared" si="12"/>
        <v>-0.53</v>
      </c>
      <c r="AH180" s="10">
        <v>81262</v>
      </c>
      <c r="AI180" s="12">
        <f t="shared" si="13"/>
        <v>-63188</v>
      </c>
      <c r="AJ180">
        <f>(AH180-AD180)/AD180</f>
        <v>-0.43743856005538251</v>
      </c>
      <c r="AK180">
        <f>AF180-AJ180</f>
        <v>-9.3762547594323231E-2</v>
      </c>
    </row>
    <row r="181" spans="1:37" x14ac:dyDescent="0.35">
      <c r="A181" s="2">
        <v>180</v>
      </c>
      <c r="B181" s="3" t="s">
        <v>160</v>
      </c>
      <c r="C181" s="3" t="s">
        <v>30</v>
      </c>
      <c r="D181" s="3" t="s">
        <v>175</v>
      </c>
      <c r="E181" s="2">
        <v>1600</v>
      </c>
      <c r="F181" s="2">
        <v>2</v>
      </c>
      <c r="G181" s="4">
        <v>95.05</v>
      </c>
      <c r="H181" s="3" t="s">
        <v>32</v>
      </c>
      <c r="I181" s="2">
        <v>0</v>
      </c>
      <c r="J181" s="4">
        <v>39501</v>
      </c>
      <c r="K181" s="5">
        <v>56.5</v>
      </c>
      <c r="L181" s="4">
        <v>3100</v>
      </c>
      <c r="M181" s="5">
        <v>4.4000000000000004</v>
      </c>
      <c r="N181" s="4">
        <v>9600</v>
      </c>
      <c r="O181" s="5">
        <v>13.7</v>
      </c>
      <c r="P181" s="4">
        <v>7200</v>
      </c>
      <c r="Q181" s="5">
        <v>10.3</v>
      </c>
      <c r="R181" s="4">
        <v>5600</v>
      </c>
      <c r="S181" s="5">
        <v>8</v>
      </c>
      <c r="T181" s="4">
        <v>2400</v>
      </c>
      <c r="U181" s="5">
        <v>3.4</v>
      </c>
      <c r="V181" s="4">
        <v>1200</v>
      </c>
      <c r="W181" s="5">
        <v>1.7</v>
      </c>
      <c r="X181" s="4">
        <v>1372</v>
      </c>
      <c r="Y181" s="5">
        <v>2</v>
      </c>
      <c r="Z181" s="4">
        <v>0</v>
      </c>
      <c r="AA181" s="5">
        <v>0</v>
      </c>
      <c r="AB181" s="4">
        <v>68601</v>
      </c>
      <c r="AC181" s="4">
        <v>69973</v>
      </c>
      <c r="AD181">
        <v>144450</v>
      </c>
      <c r="AE181" s="8">
        <f t="shared" si="11"/>
        <v>-74477</v>
      </c>
      <c r="AF181">
        <f t="shared" si="14"/>
        <v>-0.51559016960886117</v>
      </c>
      <c r="AG181">
        <f t="shared" si="12"/>
        <v>-0.52</v>
      </c>
      <c r="AH181" s="10">
        <v>83968</v>
      </c>
      <c r="AI181" s="12">
        <f t="shared" si="13"/>
        <v>-60482</v>
      </c>
      <c r="AJ181">
        <f>(AH181-AD181)/AD181</f>
        <v>-0.41870543440636898</v>
      </c>
      <c r="AK181">
        <f>AF181-AJ181</f>
        <v>-9.6884735202492189E-2</v>
      </c>
    </row>
    <row r="182" spans="1:37" x14ac:dyDescent="0.35">
      <c r="A182" s="2">
        <v>181</v>
      </c>
      <c r="B182" s="3" t="s">
        <v>83</v>
      </c>
      <c r="C182" s="3" t="s">
        <v>30</v>
      </c>
      <c r="D182" s="3" t="s">
        <v>175</v>
      </c>
      <c r="E182" s="2">
        <v>1600</v>
      </c>
      <c r="F182" s="2">
        <v>2</v>
      </c>
      <c r="G182" s="4">
        <v>95.05</v>
      </c>
      <c r="H182" s="3" t="s">
        <v>32</v>
      </c>
      <c r="I182" s="2">
        <v>0</v>
      </c>
      <c r="J182" s="4">
        <v>48279</v>
      </c>
      <c r="K182" s="5">
        <v>55.7</v>
      </c>
      <c r="L182" s="4">
        <v>3530</v>
      </c>
      <c r="M182" s="5">
        <v>4.0999999999999996</v>
      </c>
      <c r="N182" s="4">
        <v>12000</v>
      </c>
      <c r="O182" s="5">
        <v>13.8</v>
      </c>
      <c r="P182" s="4">
        <v>9600</v>
      </c>
      <c r="Q182" s="5">
        <v>11.1</v>
      </c>
      <c r="R182" s="4">
        <v>6720</v>
      </c>
      <c r="S182" s="5">
        <v>7.7</v>
      </c>
      <c r="T182" s="4">
        <v>2880</v>
      </c>
      <c r="U182" s="5">
        <v>3.3</v>
      </c>
      <c r="V182" s="4">
        <v>1600</v>
      </c>
      <c r="W182" s="5">
        <v>1.8</v>
      </c>
      <c r="X182" s="4">
        <v>2115</v>
      </c>
      <c r="Y182" s="5">
        <v>2.4</v>
      </c>
      <c r="Z182" s="4">
        <v>0</v>
      </c>
      <c r="AA182" s="5">
        <v>0</v>
      </c>
      <c r="AB182" s="4">
        <v>84609</v>
      </c>
      <c r="AC182" s="4">
        <v>86724</v>
      </c>
      <c r="AD182">
        <v>149800</v>
      </c>
      <c r="AE182" s="8">
        <f t="shared" si="11"/>
        <v>-63076</v>
      </c>
      <c r="AF182">
        <f t="shared" si="14"/>
        <v>-0.42106809078771695</v>
      </c>
      <c r="AG182">
        <f t="shared" si="12"/>
        <v>-0.42</v>
      </c>
      <c r="AH182" s="10">
        <v>104069</v>
      </c>
      <c r="AI182" s="12">
        <f t="shared" si="13"/>
        <v>-45731</v>
      </c>
      <c r="AJ182">
        <f>(AH182-AD182)/AD182</f>
        <v>-0.3052803738317757</v>
      </c>
      <c r="AK182">
        <f>AF182-AJ182</f>
        <v>-0.11578771695594126</v>
      </c>
    </row>
    <row r="183" spans="1:37" x14ac:dyDescent="0.35">
      <c r="A183" s="2">
        <v>182</v>
      </c>
      <c r="B183" s="3" t="s">
        <v>88</v>
      </c>
      <c r="C183" s="3" t="s">
        <v>30</v>
      </c>
      <c r="D183" s="3" t="s">
        <v>176</v>
      </c>
      <c r="E183" s="2">
        <v>1200</v>
      </c>
      <c r="F183" s="2">
        <v>2</v>
      </c>
      <c r="G183" s="4">
        <v>95.05</v>
      </c>
      <c r="H183" s="3" t="s">
        <v>32</v>
      </c>
      <c r="I183" s="2">
        <v>0</v>
      </c>
      <c r="J183" s="4">
        <v>28586</v>
      </c>
      <c r="K183" s="5">
        <v>54.5</v>
      </c>
      <c r="L183" s="4">
        <v>3030</v>
      </c>
      <c r="M183" s="5">
        <v>5.8</v>
      </c>
      <c r="N183" s="4">
        <v>6960</v>
      </c>
      <c r="O183" s="5">
        <v>13.3</v>
      </c>
      <c r="P183" s="4">
        <v>5400</v>
      </c>
      <c r="Q183" s="5">
        <v>10.3</v>
      </c>
      <c r="R183" s="4">
        <v>4080</v>
      </c>
      <c r="S183" s="5">
        <v>7.8</v>
      </c>
      <c r="T183" s="4">
        <v>2175</v>
      </c>
      <c r="U183" s="5">
        <v>4.2</v>
      </c>
      <c r="V183" s="4">
        <v>1150</v>
      </c>
      <c r="W183" s="5">
        <v>2.2000000000000002</v>
      </c>
      <c r="X183" s="4">
        <v>1028</v>
      </c>
      <c r="Y183" s="5">
        <v>2</v>
      </c>
      <c r="Z183" s="4">
        <v>0</v>
      </c>
      <c r="AA183" s="5">
        <v>0</v>
      </c>
      <c r="AB183" s="4">
        <v>51381</v>
      </c>
      <c r="AC183" s="4">
        <v>52409</v>
      </c>
      <c r="AD183">
        <v>117700</v>
      </c>
      <c r="AE183" s="8">
        <f t="shared" si="11"/>
        <v>-65291</v>
      </c>
      <c r="AF183">
        <f t="shared" si="14"/>
        <v>-0.55472387425658454</v>
      </c>
      <c r="AG183">
        <f t="shared" si="12"/>
        <v>-0.55000000000000004</v>
      </c>
      <c r="AH183" s="10">
        <v>62891</v>
      </c>
      <c r="AI183" s="12">
        <f t="shared" si="13"/>
        <v>-54809</v>
      </c>
      <c r="AJ183">
        <f>(AH183-AD183)/AD183</f>
        <v>-0.46566694987255736</v>
      </c>
      <c r="AK183">
        <f>AF183-AJ183</f>
        <v>-8.9056924384027181E-2</v>
      </c>
    </row>
    <row r="184" spans="1:37" x14ac:dyDescent="0.35">
      <c r="A184" s="2">
        <v>183</v>
      </c>
      <c r="B184" s="3" t="s">
        <v>156</v>
      </c>
      <c r="C184" s="3" t="s">
        <v>30</v>
      </c>
      <c r="D184" s="3" t="s">
        <v>176</v>
      </c>
      <c r="E184" s="2">
        <v>1200</v>
      </c>
      <c r="F184" s="2">
        <v>2</v>
      </c>
      <c r="G184" s="4">
        <v>95.05</v>
      </c>
      <c r="H184" s="3" t="s">
        <v>32</v>
      </c>
      <c r="I184" s="2">
        <v>0</v>
      </c>
      <c r="J184" s="4">
        <v>37032</v>
      </c>
      <c r="K184" s="5">
        <v>53.9</v>
      </c>
      <c r="L184" s="4">
        <v>3580</v>
      </c>
      <c r="M184" s="5">
        <v>5.2</v>
      </c>
      <c r="N184" s="4">
        <v>9120</v>
      </c>
      <c r="O184" s="5">
        <v>13.3</v>
      </c>
      <c r="P184" s="4">
        <v>7200</v>
      </c>
      <c r="Q184" s="5">
        <v>10.5</v>
      </c>
      <c r="R184" s="4">
        <v>5160</v>
      </c>
      <c r="S184" s="5">
        <v>7.5</v>
      </c>
      <c r="T184" s="4">
        <v>3300</v>
      </c>
      <c r="U184" s="5">
        <v>4.8</v>
      </c>
      <c r="V184" s="4">
        <v>1660</v>
      </c>
      <c r="W184" s="5">
        <v>2.4</v>
      </c>
      <c r="X184" s="4">
        <v>1676</v>
      </c>
      <c r="Y184" s="5">
        <v>2.4</v>
      </c>
      <c r="Z184" s="4">
        <v>0</v>
      </c>
      <c r="AA184" s="5">
        <v>0</v>
      </c>
      <c r="AB184" s="4">
        <v>67052</v>
      </c>
      <c r="AC184" s="4">
        <v>68728</v>
      </c>
      <c r="AD184">
        <v>128400</v>
      </c>
      <c r="AE184" s="8">
        <f t="shared" si="11"/>
        <v>-59672</v>
      </c>
      <c r="AF184">
        <f t="shared" si="14"/>
        <v>-0.46473520249221184</v>
      </c>
      <c r="AG184">
        <f t="shared" si="12"/>
        <v>-0.46</v>
      </c>
      <c r="AH184" s="10">
        <v>82474</v>
      </c>
      <c r="AI184" s="12">
        <f t="shared" si="13"/>
        <v>-45926</v>
      </c>
      <c r="AJ184">
        <f>(AH184-AD184)/AD184</f>
        <v>-0.35767912772585669</v>
      </c>
      <c r="AK184">
        <f>AF184-AJ184</f>
        <v>-0.10705607476635515</v>
      </c>
    </row>
    <row r="185" spans="1:37" x14ac:dyDescent="0.35">
      <c r="A185" s="2">
        <v>184</v>
      </c>
      <c r="B185" s="3" t="s">
        <v>95</v>
      </c>
      <c r="C185" s="3" t="s">
        <v>30</v>
      </c>
      <c r="D185" s="3" t="s">
        <v>176</v>
      </c>
      <c r="E185" s="2">
        <v>1200</v>
      </c>
      <c r="F185" s="2">
        <v>2</v>
      </c>
      <c r="G185" s="4">
        <v>95.05</v>
      </c>
      <c r="H185" s="3" t="s">
        <v>32</v>
      </c>
      <c r="I185" s="2">
        <v>0</v>
      </c>
      <c r="J185" s="4">
        <v>38275</v>
      </c>
      <c r="K185" s="5">
        <v>53.4</v>
      </c>
      <c r="L185" s="4">
        <v>3665</v>
      </c>
      <c r="M185" s="5">
        <v>5.0999999999999996</v>
      </c>
      <c r="N185" s="4">
        <v>9480</v>
      </c>
      <c r="O185" s="5">
        <v>13.2</v>
      </c>
      <c r="P185" s="4">
        <v>7200</v>
      </c>
      <c r="Q185" s="5">
        <v>10</v>
      </c>
      <c r="R185" s="4">
        <v>5340</v>
      </c>
      <c r="S185" s="5">
        <v>7.4</v>
      </c>
      <c r="T185" s="4">
        <v>4248</v>
      </c>
      <c r="U185" s="5">
        <v>5.9</v>
      </c>
      <c r="V185" s="4">
        <v>1770</v>
      </c>
      <c r="W185" s="5">
        <v>2.5</v>
      </c>
      <c r="X185" s="4">
        <v>1749</v>
      </c>
      <c r="Y185" s="5">
        <v>2.4</v>
      </c>
      <c r="Z185" s="4">
        <v>0</v>
      </c>
      <c r="AA185" s="5">
        <v>0</v>
      </c>
      <c r="AB185" s="4">
        <v>69978</v>
      </c>
      <c r="AC185" s="4">
        <v>71727</v>
      </c>
      <c r="AD185">
        <v>135890</v>
      </c>
      <c r="AE185" s="8">
        <f t="shared" si="11"/>
        <v>-64163</v>
      </c>
      <c r="AF185">
        <f t="shared" si="14"/>
        <v>-0.47216866583265876</v>
      </c>
      <c r="AG185">
        <f t="shared" si="12"/>
        <v>-0.47</v>
      </c>
      <c r="AH185" s="10">
        <v>86072</v>
      </c>
      <c r="AI185" s="12">
        <f t="shared" si="13"/>
        <v>-49818</v>
      </c>
      <c r="AJ185">
        <f>(AH185-AD185)/AD185</f>
        <v>-0.36660534255647953</v>
      </c>
      <c r="AK185">
        <f>AF185-AJ185</f>
        <v>-0.10556332327617923</v>
      </c>
    </row>
    <row r="186" spans="1:37" x14ac:dyDescent="0.35">
      <c r="A186" s="2">
        <v>185</v>
      </c>
      <c r="B186" s="3" t="s">
        <v>119</v>
      </c>
      <c r="C186" s="3" t="s">
        <v>30</v>
      </c>
      <c r="D186" s="3" t="s">
        <v>176</v>
      </c>
      <c r="E186" s="2">
        <v>1200</v>
      </c>
      <c r="F186" s="2">
        <v>2</v>
      </c>
      <c r="G186" s="4">
        <v>95.05</v>
      </c>
      <c r="H186" s="3" t="s">
        <v>32</v>
      </c>
      <c r="I186" s="2">
        <v>0</v>
      </c>
      <c r="J186" s="4">
        <v>47132</v>
      </c>
      <c r="K186" s="5">
        <v>52.1</v>
      </c>
      <c r="L186" s="4">
        <v>4650</v>
      </c>
      <c r="M186" s="5">
        <v>5.0999999999999996</v>
      </c>
      <c r="N186" s="4">
        <v>12000</v>
      </c>
      <c r="O186" s="5">
        <v>13.3</v>
      </c>
      <c r="P186" s="4">
        <v>9000</v>
      </c>
      <c r="Q186" s="5">
        <v>9.9</v>
      </c>
      <c r="R186" s="4">
        <v>7200</v>
      </c>
      <c r="S186" s="5">
        <v>8</v>
      </c>
      <c r="T186" s="4">
        <v>5400</v>
      </c>
      <c r="U186" s="5">
        <v>6</v>
      </c>
      <c r="V186" s="4">
        <v>2500</v>
      </c>
      <c r="W186" s="5">
        <v>2.8</v>
      </c>
      <c r="X186" s="4">
        <v>2636</v>
      </c>
      <c r="Y186" s="5">
        <v>2.9</v>
      </c>
      <c r="Z186" s="4">
        <v>0</v>
      </c>
      <c r="AA186" s="5">
        <v>0</v>
      </c>
      <c r="AB186" s="4">
        <v>87882</v>
      </c>
      <c r="AC186" s="4">
        <v>90518</v>
      </c>
      <c r="AD186">
        <v>149800</v>
      </c>
      <c r="AE186" s="8">
        <f t="shared" si="11"/>
        <v>-59282</v>
      </c>
      <c r="AF186">
        <f t="shared" si="14"/>
        <v>-0.39574098798397866</v>
      </c>
      <c r="AG186">
        <f t="shared" si="12"/>
        <v>-0.4</v>
      </c>
      <c r="AH186" s="10">
        <v>108622</v>
      </c>
      <c r="AI186" s="12">
        <f t="shared" si="13"/>
        <v>-41178</v>
      </c>
      <c r="AJ186">
        <f>(AH186-AD186)/AD186</f>
        <v>-0.27488651535380509</v>
      </c>
      <c r="AK186">
        <f>AF186-AJ186</f>
        <v>-0.12085447263017357</v>
      </c>
    </row>
    <row r="187" spans="1:37" x14ac:dyDescent="0.35">
      <c r="A187" s="2">
        <v>186</v>
      </c>
      <c r="B187" s="3" t="s">
        <v>92</v>
      </c>
      <c r="C187" s="3" t="s">
        <v>30</v>
      </c>
      <c r="D187" s="3" t="s">
        <v>176</v>
      </c>
      <c r="E187" s="2">
        <v>1200</v>
      </c>
      <c r="F187" s="2">
        <v>2</v>
      </c>
      <c r="G187" s="4">
        <v>95.05</v>
      </c>
      <c r="H187" s="3" t="s">
        <v>32</v>
      </c>
      <c r="I187" s="2">
        <v>0</v>
      </c>
      <c r="J187" s="4">
        <v>56187</v>
      </c>
      <c r="K187" s="5">
        <v>52.4</v>
      </c>
      <c r="L187" s="4">
        <v>5630</v>
      </c>
      <c r="M187" s="5">
        <v>5.3</v>
      </c>
      <c r="N187" s="4">
        <v>13800</v>
      </c>
      <c r="O187" s="5">
        <v>12.9</v>
      </c>
      <c r="P187" s="4">
        <v>10800</v>
      </c>
      <c r="Q187" s="5">
        <v>10.1</v>
      </c>
      <c r="R187" s="4">
        <v>8640</v>
      </c>
      <c r="S187" s="5">
        <v>8.1</v>
      </c>
      <c r="T187" s="4">
        <v>6150</v>
      </c>
      <c r="U187" s="5">
        <v>5.7</v>
      </c>
      <c r="V187" s="4">
        <v>2800</v>
      </c>
      <c r="W187" s="5">
        <v>2.6</v>
      </c>
      <c r="X187" s="4">
        <v>3120</v>
      </c>
      <c r="Y187" s="5">
        <v>2.9</v>
      </c>
      <c r="Z187" s="4">
        <v>0</v>
      </c>
      <c r="AA187" s="5">
        <v>0</v>
      </c>
      <c r="AB187" s="4">
        <v>104007</v>
      </c>
      <c r="AC187" s="4">
        <v>107127</v>
      </c>
      <c r="AD187">
        <v>155150</v>
      </c>
      <c r="AE187" s="8">
        <f t="shared" si="11"/>
        <v>-48023</v>
      </c>
      <c r="AF187">
        <f t="shared" si="14"/>
        <v>-0.30952626490493074</v>
      </c>
      <c r="AG187">
        <f t="shared" si="12"/>
        <v>-0.31</v>
      </c>
      <c r="AH187" s="10">
        <v>128552</v>
      </c>
      <c r="AI187" s="12">
        <f t="shared" si="13"/>
        <v>-26598</v>
      </c>
      <c r="AJ187">
        <f>(AH187-AD187)/AD187</f>
        <v>-0.17143409603609411</v>
      </c>
      <c r="AK187">
        <f>AF187-AJ187</f>
        <v>-0.13809216886883663</v>
      </c>
    </row>
    <row r="188" spans="1:37" x14ac:dyDescent="0.35">
      <c r="A188" s="2">
        <v>187</v>
      </c>
      <c r="B188" s="3" t="s">
        <v>88</v>
      </c>
      <c r="C188" s="3" t="s">
        <v>30</v>
      </c>
      <c r="D188" s="3" t="s">
        <v>177</v>
      </c>
      <c r="E188" s="2">
        <v>1450</v>
      </c>
      <c r="F188" s="2">
        <v>2</v>
      </c>
      <c r="G188" s="4">
        <v>95.05</v>
      </c>
      <c r="H188" s="3" t="s">
        <v>32</v>
      </c>
      <c r="I188" s="2">
        <v>0</v>
      </c>
      <c r="J188" s="4">
        <v>34542</v>
      </c>
      <c r="K188" s="5">
        <v>55.7</v>
      </c>
      <c r="L188" s="4">
        <v>3030</v>
      </c>
      <c r="M188" s="5">
        <v>4.9000000000000004</v>
      </c>
      <c r="N188" s="4">
        <v>8410</v>
      </c>
      <c r="O188" s="5">
        <v>13.6</v>
      </c>
      <c r="P188" s="4">
        <v>6525</v>
      </c>
      <c r="Q188" s="5">
        <v>10.5</v>
      </c>
      <c r="R188" s="4">
        <v>4930</v>
      </c>
      <c r="S188" s="5">
        <v>8</v>
      </c>
      <c r="T188" s="4">
        <v>2175</v>
      </c>
      <c r="U188" s="5">
        <v>3.5</v>
      </c>
      <c r="V188" s="4">
        <v>1150</v>
      </c>
      <c r="W188" s="5">
        <v>1.9</v>
      </c>
      <c r="X188" s="4">
        <v>1215</v>
      </c>
      <c r="Y188" s="5">
        <v>2</v>
      </c>
      <c r="Z188" s="4">
        <v>0</v>
      </c>
      <c r="AA188" s="5">
        <v>0</v>
      </c>
      <c r="AB188" s="4">
        <v>60762</v>
      </c>
      <c r="AC188" s="4">
        <v>61977</v>
      </c>
      <c r="AD188">
        <v>132680</v>
      </c>
      <c r="AE188" s="8">
        <f t="shared" si="11"/>
        <v>-70703</v>
      </c>
      <c r="AF188">
        <f t="shared" si="14"/>
        <v>-0.53288362978595116</v>
      </c>
      <c r="AG188">
        <f t="shared" si="12"/>
        <v>-0.53</v>
      </c>
      <c r="AH188" s="10">
        <v>74372</v>
      </c>
      <c r="AI188" s="12">
        <f t="shared" si="13"/>
        <v>-58308</v>
      </c>
      <c r="AJ188">
        <f>(AH188-AD188)/AD188</f>
        <v>-0.43946337051552609</v>
      </c>
      <c r="AK188">
        <f>AF188-AJ188</f>
        <v>-9.3420259270425077E-2</v>
      </c>
    </row>
    <row r="189" spans="1:37" x14ac:dyDescent="0.35">
      <c r="A189" s="2">
        <v>188</v>
      </c>
      <c r="B189" s="3" t="s">
        <v>160</v>
      </c>
      <c r="C189" s="3" t="s">
        <v>30</v>
      </c>
      <c r="D189" s="3" t="s">
        <v>177</v>
      </c>
      <c r="E189" s="2">
        <v>1450</v>
      </c>
      <c r="F189" s="2">
        <v>2</v>
      </c>
      <c r="G189" s="4">
        <v>95.05</v>
      </c>
      <c r="H189" s="3" t="s">
        <v>32</v>
      </c>
      <c r="I189" s="2">
        <v>0</v>
      </c>
      <c r="J189" s="4">
        <v>35798</v>
      </c>
      <c r="K189" s="5">
        <v>55.9</v>
      </c>
      <c r="L189" s="4">
        <v>3100</v>
      </c>
      <c r="M189" s="5">
        <v>4.8</v>
      </c>
      <c r="N189" s="4">
        <v>8700</v>
      </c>
      <c r="O189" s="5">
        <v>13.6</v>
      </c>
      <c r="P189" s="4">
        <v>6525</v>
      </c>
      <c r="Q189" s="5">
        <v>10.199999999999999</v>
      </c>
      <c r="R189" s="4">
        <v>5075</v>
      </c>
      <c r="S189" s="5">
        <v>7.9</v>
      </c>
      <c r="T189" s="4">
        <v>2400</v>
      </c>
      <c r="U189" s="5">
        <v>3.7</v>
      </c>
      <c r="V189" s="4">
        <v>1200</v>
      </c>
      <c r="W189" s="5">
        <v>1.9</v>
      </c>
      <c r="X189" s="4">
        <v>1256</v>
      </c>
      <c r="Y189" s="5">
        <v>2</v>
      </c>
      <c r="Z189" s="4">
        <v>0</v>
      </c>
      <c r="AA189" s="5">
        <v>0</v>
      </c>
      <c r="AB189" s="4">
        <v>62798</v>
      </c>
      <c r="AC189" s="4">
        <v>64054</v>
      </c>
      <c r="AD189">
        <v>132680</v>
      </c>
      <c r="AE189" s="8">
        <f t="shared" si="11"/>
        <v>-68626</v>
      </c>
      <c r="AF189">
        <f t="shared" si="14"/>
        <v>-0.51722942417847451</v>
      </c>
      <c r="AG189">
        <f t="shared" si="12"/>
        <v>-0.52</v>
      </c>
      <c r="AH189" s="10">
        <v>76865</v>
      </c>
      <c r="AI189" s="12">
        <f t="shared" si="13"/>
        <v>-55815</v>
      </c>
      <c r="AJ189">
        <f>(AH189-AD189)/AD189</f>
        <v>-0.42067380162797707</v>
      </c>
      <c r="AK189">
        <f>AF189-AJ189</f>
        <v>-9.6555622550497433E-2</v>
      </c>
    </row>
    <row r="190" spans="1:37" x14ac:dyDescent="0.35">
      <c r="A190" s="2">
        <v>189</v>
      </c>
      <c r="B190" s="3" t="s">
        <v>83</v>
      </c>
      <c r="C190" s="3" t="s">
        <v>30</v>
      </c>
      <c r="D190" s="3" t="s">
        <v>177</v>
      </c>
      <c r="E190" s="2">
        <v>1450</v>
      </c>
      <c r="F190" s="2">
        <v>2</v>
      </c>
      <c r="G190" s="4">
        <v>95.05</v>
      </c>
      <c r="H190" s="3" t="s">
        <v>32</v>
      </c>
      <c r="I190" s="2">
        <v>0</v>
      </c>
      <c r="J190" s="4">
        <v>43753</v>
      </c>
      <c r="K190" s="5">
        <v>55.1</v>
      </c>
      <c r="L190" s="4">
        <v>3530</v>
      </c>
      <c r="M190" s="5">
        <v>4.4000000000000004</v>
      </c>
      <c r="N190" s="4">
        <v>10875</v>
      </c>
      <c r="O190" s="5">
        <v>13.7</v>
      </c>
      <c r="P190" s="4">
        <v>8700</v>
      </c>
      <c r="Q190" s="5">
        <v>11</v>
      </c>
      <c r="R190" s="4">
        <v>6090</v>
      </c>
      <c r="S190" s="5">
        <v>7.7</v>
      </c>
      <c r="T190" s="4">
        <v>2880</v>
      </c>
      <c r="U190" s="5">
        <v>3.6</v>
      </c>
      <c r="V190" s="4">
        <v>1600</v>
      </c>
      <c r="W190" s="5">
        <v>2</v>
      </c>
      <c r="X190" s="4">
        <v>1936</v>
      </c>
      <c r="Y190" s="5">
        <v>2.4</v>
      </c>
      <c r="Z190" s="4">
        <v>0</v>
      </c>
      <c r="AA190" s="5">
        <v>0</v>
      </c>
      <c r="AB190" s="4">
        <v>77428</v>
      </c>
      <c r="AC190" s="4">
        <v>79364</v>
      </c>
      <c r="AD190">
        <v>136960</v>
      </c>
      <c r="AE190" s="8">
        <f t="shared" si="11"/>
        <v>-57596</v>
      </c>
      <c r="AF190">
        <f t="shared" si="14"/>
        <v>-0.42053154205607479</v>
      </c>
      <c r="AG190">
        <f t="shared" si="12"/>
        <v>-0.42</v>
      </c>
      <c r="AH190" s="10">
        <v>95237</v>
      </c>
      <c r="AI190" s="12">
        <f t="shared" si="13"/>
        <v>-41723</v>
      </c>
      <c r="AJ190">
        <f>(AH190-AD190)/AD190</f>
        <v>-0.30463639018691591</v>
      </c>
      <c r="AK190">
        <f>AF190-AJ190</f>
        <v>-0.11589515186915889</v>
      </c>
    </row>
    <row r="191" spans="1:37" x14ac:dyDescent="0.35">
      <c r="A191" s="2">
        <v>190</v>
      </c>
      <c r="B191" s="3" t="s">
        <v>156</v>
      </c>
      <c r="C191" s="3" t="s">
        <v>30</v>
      </c>
      <c r="D191" s="3" t="s">
        <v>177</v>
      </c>
      <c r="E191" s="2">
        <v>1450</v>
      </c>
      <c r="F191" s="2">
        <v>2</v>
      </c>
      <c r="G191" s="4">
        <v>95.05</v>
      </c>
      <c r="H191" s="3" t="s">
        <v>32</v>
      </c>
      <c r="I191" s="2">
        <v>0</v>
      </c>
      <c r="J191" s="4">
        <v>44748</v>
      </c>
      <c r="K191" s="5">
        <v>55.1</v>
      </c>
      <c r="L191" s="4">
        <v>3580</v>
      </c>
      <c r="M191" s="5">
        <v>4.4000000000000004</v>
      </c>
      <c r="N191" s="4">
        <v>11020</v>
      </c>
      <c r="O191" s="5">
        <v>13.6</v>
      </c>
      <c r="P191" s="4">
        <v>8700</v>
      </c>
      <c r="Q191" s="5">
        <v>10.7</v>
      </c>
      <c r="R191" s="4">
        <v>6235</v>
      </c>
      <c r="S191" s="5">
        <v>7.7</v>
      </c>
      <c r="T191" s="4">
        <v>3300</v>
      </c>
      <c r="U191" s="5">
        <v>4.0999999999999996</v>
      </c>
      <c r="V191" s="4">
        <v>1660</v>
      </c>
      <c r="W191" s="5">
        <v>2</v>
      </c>
      <c r="X191" s="4">
        <v>1981</v>
      </c>
      <c r="Y191" s="5">
        <v>2.4</v>
      </c>
      <c r="Z191" s="4">
        <v>0</v>
      </c>
      <c r="AA191" s="5">
        <v>0</v>
      </c>
      <c r="AB191" s="4">
        <v>79243</v>
      </c>
      <c r="AC191" s="4">
        <v>81224</v>
      </c>
      <c r="AD191">
        <v>142310</v>
      </c>
      <c r="AE191" s="8">
        <f t="shared" si="11"/>
        <v>-61086</v>
      </c>
      <c r="AF191">
        <f t="shared" si="14"/>
        <v>-0.42924601222682873</v>
      </c>
      <c r="AG191">
        <f t="shared" si="12"/>
        <v>-0.43</v>
      </c>
      <c r="AH191" s="10">
        <v>97469</v>
      </c>
      <c r="AI191" s="12">
        <f t="shared" si="13"/>
        <v>-44841</v>
      </c>
      <c r="AJ191">
        <f>(AH191-AD191)/AD191</f>
        <v>-0.31509380928957909</v>
      </c>
      <c r="AK191">
        <f>AF191-AJ191</f>
        <v>-0.11415220293724965</v>
      </c>
    </row>
    <row r="192" spans="1:37" x14ac:dyDescent="0.35">
      <c r="A192" s="2">
        <v>191</v>
      </c>
      <c r="B192" s="3" t="s">
        <v>95</v>
      </c>
      <c r="C192" s="3" t="s">
        <v>30</v>
      </c>
      <c r="D192" s="3" t="s">
        <v>177</v>
      </c>
      <c r="E192" s="2">
        <v>1450</v>
      </c>
      <c r="F192" s="2">
        <v>2</v>
      </c>
      <c r="G192" s="4">
        <v>95.05</v>
      </c>
      <c r="H192" s="3" t="s">
        <v>32</v>
      </c>
      <c r="I192" s="2">
        <v>0</v>
      </c>
      <c r="J192" s="4">
        <v>46249</v>
      </c>
      <c r="K192" s="5">
        <v>54.7</v>
      </c>
      <c r="L192" s="4">
        <v>3665</v>
      </c>
      <c r="M192" s="5">
        <v>4.3</v>
      </c>
      <c r="N192" s="4">
        <v>11455</v>
      </c>
      <c r="O192" s="5">
        <v>13.5</v>
      </c>
      <c r="P192" s="4">
        <v>8700</v>
      </c>
      <c r="Q192" s="5">
        <v>10.3</v>
      </c>
      <c r="R192" s="4">
        <v>6453</v>
      </c>
      <c r="S192" s="5">
        <v>7.6</v>
      </c>
      <c r="T192" s="4">
        <v>4248</v>
      </c>
      <c r="U192" s="5">
        <v>5</v>
      </c>
      <c r="V192" s="4">
        <v>1770</v>
      </c>
      <c r="W192" s="5">
        <v>2.1</v>
      </c>
      <c r="X192" s="4">
        <v>2064</v>
      </c>
      <c r="Y192" s="5">
        <v>2.4</v>
      </c>
      <c r="Z192" s="4">
        <v>0</v>
      </c>
      <c r="AA192" s="5">
        <v>0</v>
      </c>
      <c r="AB192" s="4">
        <v>82540</v>
      </c>
      <c r="AC192" s="4">
        <v>84604</v>
      </c>
      <c r="AD192">
        <v>149800</v>
      </c>
      <c r="AE192" s="8">
        <f t="shared" si="11"/>
        <v>-65196</v>
      </c>
      <c r="AF192">
        <f t="shared" si="14"/>
        <v>-0.43522029372496662</v>
      </c>
      <c r="AG192">
        <f t="shared" si="12"/>
        <v>-0.44</v>
      </c>
      <c r="AH192" s="10">
        <v>101525</v>
      </c>
      <c r="AI192" s="12">
        <f t="shared" si="13"/>
        <v>-48275</v>
      </c>
      <c r="AJ192">
        <f>(AH192-AD192)/AD192</f>
        <v>-0.32226301735647528</v>
      </c>
      <c r="AK192">
        <f>AF192-AJ192</f>
        <v>-0.11295727636849134</v>
      </c>
    </row>
    <row r="193" spans="1:37" x14ac:dyDescent="0.35">
      <c r="A193" s="2">
        <v>192</v>
      </c>
      <c r="B193" s="3" t="s">
        <v>119</v>
      </c>
      <c r="C193" s="3" t="s">
        <v>30</v>
      </c>
      <c r="D193" s="3" t="s">
        <v>177</v>
      </c>
      <c r="E193" s="2">
        <v>1450</v>
      </c>
      <c r="F193" s="2">
        <v>2</v>
      </c>
      <c r="G193" s="4">
        <v>95.05</v>
      </c>
      <c r="H193" s="3" t="s">
        <v>32</v>
      </c>
      <c r="I193" s="2">
        <v>0</v>
      </c>
      <c r="J193" s="4">
        <v>56951</v>
      </c>
      <c r="K193" s="5">
        <v>53.4</v>
      </c>
      <c r="L193" s="4">
        <v>4650</v>
      </c>
      <c r="M193" s="5">
        <v>4.4000000000000004</v>
      </c>
      <c r="N193" s="4">
        <v>14500</v>
      </c>
      <c r="O193" s="5">
        <v>13.6</v>
      </c>
      <c r="P193" s="4">
        <v>10875</v>
      </c>
      <c r="Q193" s="5">
        <v>10.199999999999999</v>
      </c>
      <c r="R193" s="4">
        <v>8700</v>
      </c>
      <c r="S193" s="5">
        <v>8.1999999999999993</v>
      </c>
      <c r="T193" s="4">
        <v>5400</v>
      </c>
      <c r="U193" s="5">
        <v>5.0999999999999996</v>
      </c>
      <c r="V193" s="4">
        <v>2500</v>
      </c>
      <c r="W193" s="5">
        <v>2.2999999999999998</v>
      </c>
      <c r="X193" s="4">
        <v>3107</v>
      </c>
      <c r="Y193" s="5">
        <v>2.9</v>
      </c>
      <c r="Z193" s="4">
        <v>0</v>
      </c>
      <c r="AA193" s="5">
        <v>0</v>
      </c>
      <c r="AB193" s="4">
        <v>103576</v>
      </c>
      <c r="AC193" s="4">
        <v>106683</v>
      </c>
      <c r="AD193">
        <v>158360</v>
      </c>
      <c r="AE193" s="8">
        <f t="shared" si="11"/>
        <v>-51677</v>
      </c>
      <c r="AF193">
        <f t="shared" si="14"/>
        <v>-0.32632609244758776</v>
      </c>
      <c r="AG193">
        <f t="shared" si="12"/>
        <v>-0.33</v>
      </c>
      <c r="AH193" s="10">
        <v>128020</v>
      </c>
      <c r="AI193" s="12">
        <f t="shared" si="13"/>
        <v>-30340</v>
      </c>
      <c r="AJ193">
        <f>(AH193-AD193)/AD193</f>
        <v>-0.19158878504672897</v>
      </c>
      <c r="AK193">
        <f>AF193-AJ193</f>
        <v>-0.13473730740085879</v>
      </c>
    </row>
    <row r="194" spans="1:37" x14ac:dyDescent="0.35">
      <c r="A194" s="2">
        <v>193</v>
      </c>
      <c r="B194" s="3" t="s">
        <v>92</v>
      </c>
      <c r="C194" s="3" t="s">
        <v>30</v>
      </c>
      <c r="D194" s="3" t="s">
        <v>177</v>
      </c>
      <c r="E194" s="2">
        <v>1450</v>
      </c>
      <c r="F194" s="2">
        <v>2</v>
      </c>
      <c r="G194" s="4">
        <v>95.05</v>
      </c>
      <c r="H194" s="3" t="s">
        <v>32</v>
      </c>
      <c r="I194" s="2">
        <v>0</v>
      </c>
      <c r="J194" s="4">
        <v>67893</v>
      </c>
      <c r="K194" s="5">
        <v>53.7</v>
      </c>
      <c r="L194" s="4">
        <v>5630</v>
      </c>
      <c r="M194" s="5">
        <v>4.5</v>
      </c>
      <c r="N194" s="4">
        <v>16675</v>
      </c>
      <c r="O194" s="5">
        <v>13.2</v>
      </c>
      <c r="P194" s="4">
        <v>13050</v>
      </c>
      <c r="Q194" s="5">
        <v>10.3</v>
      </c>
      <c r="R194" s="4">
        <v>10440</v>
      </c>
      <c r="S194" s="5">
        <v>8.3000000000000007</v>
      </c>
      <c r="T194" s="4">
        <v>6150</v>
      </c>
      <c r="U194" s="5">
        <v>4.9000000000000004</v>
      </c>
      <c r="V194" s="4">
        <v>2800</v>
      </c>
      <c r="W194" s="5">
        <v>2.2000000000000002</v>
      </c>
      <c r="X194" s="4">
        <v>3679</v>
      </c>
      <c r="Y194" s="5">
        <v>2.9</v>
      </c>
      <c r="Z194" s="4">
        <v>0</v>
      </c>
      <c r="AA194" s="5">
        <v>0</v>
      </c>
      <c r="AB194" s="4">
        <v>122638</v>
      </c>
      <c r="AC194" s="4">
        <v>126317</v>
      </c>
      <c r="AD194">
        <v>160500</v>
      </c>
      <c r="AE194" s="8">
        <f t="shared" si="11"/>
        <v>-34183</v>
      </c>
      <c r="AF194">
        <f t="shared" ref="AF194:AF200" si="15">AE194/AD194</f>
        <v>-0.21297819314641744</v>
      </c>
      <c r="AG194">
        <f t="shared" si="12"/>
        <v>-0.21</v>
      </c>
      <c r="AH194" s="10">
        <v>151580</v>
      </c>
      <c r="AI194" s="12">
        <f t="shared" si="13"/>
        <v>-8920</v>
      </c>
      <c r="AJ194">
        <f>(AH194-AD194)/AD194</f>
        <v>-5.5576323987538943E-2</v>
      </c>
      <c r="AK194">
        <f>AF194-AJ194</f>
        <v>-0.15740186915887849</v>
      </c>
    </row>
    <row r="195" spans="1:37" x14ac:dyDescent="0.35">
      <c r="A195" s="2">
        <v>194</v>
      </c>
      <c r="B195" s="3" t="s">
        <v>88</v>
      </c>
      <c r="C195" s="3" t="s">
        <v>30</v>
      </c>
      <c r="D195" s="3" t="s">
        <v>85</v>
      </c>
      <c r="E195" s="2">
        <v>780</v>
      </c>
      <c r="F195" s="2">
        <v>1</v>
      </c>
      <c r="G195" s="4">
        <v>95.05</v>
      </c>
      <c r="H195" s="3" t="s">
        <v>32</v>
      </c>
      <c r="I195" s="2">
        <v>0</v>
      </c>
      <c r="J195" s="4">
        <v>18581</v>
      </c>
      <c r="K195" s="5">
        <v>53.6</v>
      </c>
      <c r="L195" s="4">
        <v>1420</v>
      </c>
      <c r="M195" s="5">
        <v>4.0999999999999996</v>
      </c>
      <c r="N195" s="4">
        <v>4524</v>
      </c>
      <c r="O195" s="5">
        <v>13</v>
      </c>
      <c r="P195" s="4">
        <v>3510</v>
      </c>
      <c r="Q195" s="5">
        <v>10.1</v>
      </c>
      <c r="R195" s="4">
        <v>2652</v>
      </c>
      <c r="S195" s="5">
        <v>7.6</v>
      </c>
      <c r="T195" s="4">
        <v>2175</v>
      </c>
      <c r="U195" s="5">
        <v>6.3</v>
      </c>
      <c r="V195" s="4">
        <v>1150</v>
      </c>
      <c r="W195" s="5">
        <v>3.3</v>
      </c>
      <c r="X195" s="4">
        <v>680</v>
      </c>
      <c r="Y195" s="5">
        <v>2</v>
      </c>
      <c r="Z195" s="4">
        <v>0</v>
      </c>
      <c r="AA195" s="5">
        <v>0</v>
      </c>
      <c r="AB195" s="4">
        <v>34012</v>
      </c>
      <c r="AC195" s="4">
        <v>34692</v>
      </c>
      <c r="AD195">
        <v>51360</v>
      </c>
      <c r="AE195" s="8">
        <f t="shared" ref="AE195:AE200" si="16">AC195-AD195</f>
        <v>-16668</v>
      </c>
      <c r="AF195">
        <f t="shared" si="15"/>
        <v>-0.32453271028037384</v>
      </c>
      <c r="AG195">
        <f t="shared" ref="AG195:AG200" si="17">ROUND(AF195,2)</f>
        <v>-0.32</v>
      </c>
      <c r="AH195" s="10">
        <v>41630</v>
      </c>
      <c r="AI195" s="12">
        <f t="shared" ref="AI195:AI200" si="18">AH195-AD195</f>
        <v>-9730</v>
      </c>
      <c r="AJ195">
        <f>(AH195-AD195)/AD195</f>
        <v>-0.18944704049844235</v>
      </c>
      <c r="AK195">
        <f>AF195-AJ195</f>
        <v>-0.13508566978193148</v>
      </c>
    </row>
    <row r="196" spans="1:37" x14ac:dyDescent="0.35">
      <c r="A196" s="2">
        <v>195</v>
      </c>
      <c r="B196" s="3" t="s">
        <v>160</v>
      </c>
      <c r="C196" s="3" t="s">
        <v>30</v>
      </c>
      <c r="D196" s="3" t="s">
        <v>85</v>
      </c>
      <c r="E196" s="2">
        <v>780</v>
      </c>
      <c r="F196" s="2">
        <v>1</v>
      </c>
      <c r="G196" s="4">
        <v>95.05</v>
      </c>
      <c r="H196" s="3" t="s">
        <v>32</v>
      </c>
      <c r="I196" s="2">
        <v>0</v>
      </c>
      <c r="J196" s="4">
        <v>19257</v>
      </c>
      <c r="K196" s="5">
        <v>53.6</v>
      </c>
      <c r="L196" s="4">
        <v>1450</v>
      </c>
      <c r="M196" s="5">
        <v>4</v>
      </c>
      <c r="N196" s="4">
        <v>4680</v>
      </c>
      <c r="O196" s="5">
        <v>13</v>
      </c>
      <c r="P196" s="4">
        <v>3510</v>
      </c>
      <c r="Q196" s="5">
        <v>9.8000000000000007</v>
      </c>
      <c r="R196" s="4">
        <v>2730</v>
      </c>
      <c r="S196" s="5">
        <v>7.6</v>
      </c>
      <c r="T196" s="4">
        <v>2400</v>
      </c>
      <c r="U196" s="5">
        <v>6.7</v>
      </c>
      <c r="V196" s="4">
        <v>1200</v>
      </c>
      <c r="W196" s="5">
        <v>3.3</v>
      </c>
      <c r="X196" s="4">
        <v>705</v>
      </c>
      <c r="Y196" s="5">
        <v>2</v>
      </c>
      <c r="Z196" s="4">
        <v>0</v>
      </c>
      <c r="AA196" s="5">
        <v>0</v>
      </c>
      <c r="AB196" s="4">
        <v>35227</v>
      </c>
      <c r="AC196" s="4">
        <v>35932</v>
      </c>
      <c r="AD196">
        <v>52430</v>
      </c>
      <c r="AE196" s="8">
        <f t="shared" si="16"/>
        <v>-16498</v>
      </c>
      <c r="AF196">
        <f t="shared" si="15"/>
        <v>-0.31466717528132748</v>
      </c>
      <c r="AG196">
        <f t="shared" si="17"/>
        <v>-0.31</v>
      </c>
      <c r="AH196" s="10">
        <v>43118</v>
      </c>
      <c r="AI196" s="12">
        <f t="shared" si="18"/>
        <v>-9312</v>
      </c>
      <c r="AJ196">
        <f>(AH196-AD196)/AD196</f>
        <v>-0.17760823955750524</v>
      </c>
      <c r="AK196">
        <f>AF196-AJ196</f>
        <v>-0.13705893572382224</v>
      </c>
    </row>
    <row r="197" spans="1:37" x14ac:dyDescent="0.35">
      <c r="A197" s="2">
        <v>196</v>
      </c>
      <c r="B197" s="3" t="s">
        <v>83</v>
      </c>
      <c r="C197" s="3" t="s">
        <v>30</v>
      </c>
      <c r="D197" s="3" t="s">
        <v>85</v>
      </c>
      <c r="E197" s="2">
        <v>780</v>
      </c>
      <c r="F197" s="2">
        <v>1</v>
      </c>
      <c r="G197" s="4">
        <v>95.05</v>
      </c>
      <c r="H197" s="3" t="s">
        <v>32</v>
      </c>
      <c r="I197" s="2">
        <v>0</v>
      </c>
      <c r="J197" s="4">
        <v>23536</v>
      </c>
      <c r="K197" s="5">
        <v>52.8</v>
      </c>
      <c r="L197" s="4">
        <v>1630</v>
      </c>
      <c r="M197" s="5">
        <v>3.7</v>
      </c>
      <c r="N197" s="4">
        <v>5850</v>
      </c>
      <c r="O197" s="5">
        <v>13.1</v>
      </c>
      <c r="P197" s="4">
        <v>4680</v>
      </c>
      <c r="Q197" s="5">
        <v>10.5</v>
      </c>
      <c r="R197" s="4">
        <v>3276</v>
      </c>
      <c r="S197" s="5">
        <v>7.4</v>
      </c>
      <c r="T197" s="4">
        <v>2880</v>
      </c>
      <c r="U197" s="5">
        <v>6.5</v>
      </c>
      <c r="V197" s="4">
        <v>1600</v>
      </c>
      <c r="W197" s="5">
        <v>3.6</v>
      </c>
      <c r="X197" s="4">
        <v>1086</v>
      </c>
      <c r="Y197" s="5">
        <v>2.4</v>
      </c>
      <c r="Z197" s="4">
        <v>0</v>
      </c>
      <c r="AA197" s="5">
        <v>0</v>
      </c>
      <c r="AB197" s="4">
        <v>43452</v>
      </c>
      <c r="AC197" s="4">
        <v>44538</v>
      </c>
      <c r="AD197">
        <v>53500</v>
      </c>
      <c r="AE197" s="8">
        <f t="shared" si="16"/>
        <v>-8962</v>
      </c>
      <c r="AF197">
        <f t="shared" si="15"/>
        <v>-0.16751401869158877</v>
      </c>
      <c r="AG197">
        <f t="shared" si="17"/>
        <v>-0.17</v>
      </c>
      <c r="AH197" s="10">
        <v>53446</v>
      </c>
      <c r="AI197" s="12">
        <f t="shared" si="18"/>
        <v>-54</v>
      </c>
      <c r="AJ197">
        <f>(AH197-AD197)/AD197</f>
        <v>-1.0093457943925234E-3</v>
      </c>
      <c r="AK197">
        <f>AF197-AJ197</f>
        <v>-0.16650467289719625</v>
      </c>
    </row>
    <row r="198" spans="1:37" x14ac:dyDescent="0.35">
      <c r="A198" s="2">
        <v>197</v>
      </c>
      <c r="B198" s="3" t="s">
        <v>156</v>
      </c>
      <c r="C198" s="3" t="s">
        <v>30</v>
      </c>
      <c r="D198" s="3" t="s">
        <v>85</v>
      </c>
      <c r="E198" s="2">
        <v>780</v>
      </c>
      <c r="F198" s="2">
        <v>1</v>
      </c>
      <c r="G198" s="4">
        <v>95.05</v>
      </c>
      <c r="H198" s="3" t="s">
        <v>32</v>
      </c>
      <c r="I198" s="2">
        <v>0</v>
      </c>
      <c r="J198" s="4">
        <v>24071</v>
      </c>
      <c r="K198" s="5">
        <v>52.6</v>
      </c>
      <c r="L198" s="4">
        <v>1650</v>
      </c>
      <c r="M198" s="5">
        <v>3.6</v>
      </c>
      <c r="N198" s="4">
        <v>5928</v>
      </c>
      <c r="O198" s="5">
        <v>13</v>
      </c>
      <c r="P198" s="4">
        <v>4680</v>
      </c>
      <c r="Q198" s="5">
        <v>10.199999999999999</v>
      </c>
      <c r="R198" s="4">
        <v>3354</v>
      </c>
      <c r="S198" s="5">
        <v>7.3</v>
      </c>
      <c r="T198" s="4">
        <v>3300</v>
      </c>
      <c r="U198" s="5">
        <v>7.2</v>
      </c>
      <c r="V198" s="4">
        <v>1660</v>
      </c>
      <c r="W198" s="5">
        <v>3.6</v>
      </c>
      <c r="X198" s="4">
        <v>1116</v>
      </c>
      <c r="Y198" s="5">
        <v>2.4</v>
      </c>
      <c r="Z198" s="4">
        <v>0</v>
      </c>
      <c r="AA198" s="5">
        <v>0</v>
      </c>
      <c r="AB198" s="4">
        <v>44643</v>
      </c>
      <c r="AC198" s="4">
        <v>45759</v>
      </c>
      <c r="AD198">
        <v>55640</v>
      </c>
      <c r="AE198" s="8">
        <f t="shared" si="16"/>
        <v>-9881</v>
      </c>
      <c r="AF198">
        <f t="shared" si="15"/>
        <v>-0.17758806613946801</v>
      </c>
      <c r="AG198">
        <f t="shared" si="17"/>
        <v>-0.18</v>
      </c>
      <c r="AH198" s="10">
        <v>54911</v>
      </c>
      <c r="AI198" s="12">
        <f t="shared" si="18"/>
        <v>-729</v>
      </c>
      <c r="AJ198">
        <f>(AH198-AD198)/AD198</f>
        <v>-1.3102084831056795E-2</v>
      </c>
      <c r="AK198">
        <f>AF198-AJ198</f>
        <v>-0.16448598130841122</v>
      </c>
    </row>
    <row r="199" spans="1:37" x14ac:dyDescent="0.35">
      <c r="A199" s="2">
        <v>198</v>
      </c>
      <c r="B199" s="3" t="s">
        <v>95</v>
      </c>
      <c r="C199" s="3" t="s">
        <v>30</v>
      </c>
      <c r="D199" s="3" t="s">
        <v>85</v>
      </c>
      <c r="E199" s="2">
        <v>780</v>
      </c>
      <c r="F199" s="2">
        <v>1</v>
      </c>
      <c r="G199" s="4">
        <v>95.05</v>
      </c>
      <c r="H199" s="3" t="s">
        <v>32</v>
      </c>
      <c r="I199" s="2">
        <v>0</v>
      </c>
      <c r="J199" s="4">
        <v>24879</v>
      </c>
      <c r="K199" s="5">
        <v>51.8</v>
      </c>
      <c r="L199" s="4">
        <v>1685</v>
      </c>
      <c r="M199" s="5">
        <v>3.5</v>
      </c>
      <c r="N199" s="4">
        <v>6162</v>
      </c>
      <c r="O199" s="5">
        <v>12.8</v>
      </c>
      <c r="P199" s="4">
        <v>4680</v>
      </c>
      <c r="Q199" s="5">
        <v>9.6999999999999993</v>
      </c>
      <c r="R199" s="4">
        <v>3471</v>
      </c>
      <c r="S199" s="5">
        <v>7.2</v>
      </c>
      <c r="T199" s="4">
        <v>4248</v>
      </c>
      <c r="U199" s="5">
        <v>8.8000000000000007</v>
      </c>
      <c r="V199" s="4">
        <v>1770</v>
      </c>
      <c r="W199" s="5">
        <v>3.7</v>
      </c>
      <c r="X199" s="4">
        <v>1172</v>
      </c>
      <c r="Y199" s="5">
        <v>2.4</v>
      </c>
      <c r="Z199" s="4">
        <v>0</v>
      </c>
      <c r="AA199" s="5">
        <v>0</v>
      </c>
      <c r="AB199" s="4">
        <v>46895</v>
      </c>
      <c r="AC199" s="4">
        <v>48067</v>
      </c>
      <c r="AD199">
        <v>60990</v>
      </c>
      <c r="AE199" s="8">
        <f t="shared" si="16"/>
        <v>-12923</v>
      </c>
      <c r="AF199">
        <f t="shared" si="15"/>
        <v>-0.2118871946220692</v>
      </c>
      <c r="AG199">
        <f t="shared" si="17"/>
        <v>-0.21</v>
      </c>
      <c r="AH199" s="10">
        <v>57680</v>
      </c>
      <c r="AI199" s="12">
        <f t="shared" si="18"/>
        <v>-3310</v>
      </c>
      <c r="AJ199">
        <f>(AH199-AD199)/AD199</f>
        <v>-5.4271191998688309E-2</v>
      </c>
      <c r="AK199">
        <f>AF199-AJ199</f>
        <v>-0.15761600262338088</v>
      </c>
    </row>
    <row r="200" spans="1:37" x14ac:dyDescent="0.35">
      <c r="A200" s="2">
        <v>199</v>
      </c>
      <c r="B200" s="3" t="s">
        <v>29</v>
      </c>
      <c r="C200" s="3" t="s">
        <v>30</v>
      </c>
      <c r="D200" s="3" t="s">
        <v>182</v>
      </c>
      <c r="E200" s="2">
        <v>1580</v>
      </c>
      <c r="F200" s="2">
        <v>2</v>
      </c>
      <c r="G200" s="4">
        <v>95.05</v>
      </c>
      <c r="H200" s="3" t="s">
        <v>32</v>
      </c>
      <c r="I200" s="2">
        <v>0</v>
      </c>
      <c r="J200" s="4">
        <v>34603</v>
      </c>
      <c r="K200" s="5">
        <v>55.8</v>
      </c>
      <c r="L200" s="4">
        <v>2930</v>
      </c>
      <c r="M200" s="5">
        <v>4.7</v>
      </c>
      <c r="N200" s="4">
        <v>8690</v>
      </c>
      <c r="O200" s="5">
        <v>14</v>
      </c>
      <c r="P200" s="4">
        <v>7110</v>
      </c>
      <c r="Q200" s="5">
        <v>11.5</v>
      </c>
      <c r="R200" s="4">
        <v>5056</v>
      </c>
      <c r="S200" s="5">
        <v>8.1</v>
      </c>
      <c r="T200" s="4">
        <v>1350</v>
      </c>
      <c r="U200" s="5">
        <v>2.2000000000000002</v>
      </c>
      <c r="V200" s="4">
        <v>1100</v>
      </c>
      <c r="W200" s="5">
        <v>1.8</v>
      </c>
      <c r="X200" s="4">
        <v>1217</v>
      </c>
      <c r="Y200" s="5">
        <v>2</v>
      </c>
      <c r="Z200" s="4">
        <v>0</v>
      </c>
      <c r="AA200" s="5">
        <v>0</v>
      </c>
      <c r="AB200" s="4">
        <v>60839</v>
      </c>
      <c r="AC200" s="4">
        <v>62056</v>
      </c>
      <c r="AD200">
        <v>39590</v>
      </c>
      <c r="AE200" s="8">
        <f t="shared" si="16"/>
        <v>22466</v>
      </c>
      <c r="AF200">
        <f t="shared" si="15"/>
        <v>0.56746653195251329</v>
      </c>
      <c r="AG200">
        <f t="shared" si="17"/>
        <v>0.56999999999999995</v>
      </c>
      <c r="AH200" s="10">
        <v>62056</v>
      </c>
      <c r="AI200" s="12">
        <f t="shared" si="18"/>
        <v>22466</v>
      </c>
      <c r="AJ200">
        <f>(AH200-AD200)/AD200</f>
        <v>0.56746653195251329</v>
      </c>
      <c r="AK200">
        <f>AF200-AJ200</f>
        <v>0</v>
      </c>
    </row>
  </sheetData>
  <pageMargins left="0.7" right="0.7" top="0.75" bottom="0.75" header="0.3" footer="0.3"/>
  <ignoredErrors>
    <ignoredError sqref="A1:AC192 A194:AC199 A193:B193 D193:AB193 A200:C200 E200:AC2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 Trip 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Bhavika Garg (IND)</cp:lastModifiedBy>
  <dcterms:modified xsi:type="dcterms:W3CDTF">2026-07-01T06:22:02Z</dcterms:modified>
</cp:coreProperties>
</file>